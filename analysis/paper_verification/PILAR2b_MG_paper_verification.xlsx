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_AND_HEADLINES" sheetId="1" state="visible" r:id="rId1"/>
    <sheet xmlns:r="http://schemas.openxmlformats.org/officeDocument/2006/relationships" name="01_FEEDSTOCK_CASCADE" sheetId="2" state="visible" r:id="rId2"/>
    <sheet xmlns:r="http://schemas.openxmlformats.org/officeDocument/2006/relationships" name="02_STATE_TOTALS_BY_SCENARIO" sheetId="3" state="visible" r:id="rId3"/>
    <sheet xmlns:r="http://schemas.openxmlformats.org/officeDocument/2006/relationships" name="03_RGINT_INTERMEDIATE_REGIONS" sheetId="4" state="visible" r:id="rId4"/>
    <sheet xmlns:r="http://schemas.openxmlformats.org/officeDocument/2006/relationships" name="04_MUNICIPAL_SUMMARY" sheetId="5" state="visible" r:id="rId5"/>
    <sheet xmlns:r="http://schemas.openxmlformats.org/officeDocument/2006/relationships" name="05_CLUSTER_AND_LISA_METRICS" sheetId="6" state="visible" r:id="rId6"/>
    <sheet xmlns:r="http://schemas.openxmlformats.org/officeDocument/2006/relationships" name="06_INFRASTRUCTURE_BENCHMA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#,##0.0"/>
    <numFmt numFmtId="167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0000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33333"/>
        <bgColor rgb="00333333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2" fontId="5" fillId="0" borderId="2" applyAlignment="1" pivotButton="0" quotePrefix="0" xfId="0">
      <alignment horizontal="right" vertical="center"/>
    </xf>
    <xf numFmtId="10" fontId="5" fillId="0" borderId="2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64" fontId="5" fillId="0" borderId="2" applyAlignment="1" pivotButton="0" quotePrefix="0" xfId="0">
      <alignment horizontal="right" vertical="center"/>
    </xf>
    <xf numFmtId="0" fontId="5" fillId="0" borderId="2" pivotButton="0" quotePrefix="0" xfId="0"/>
    <xf numFmtId="0" fontId="0" fillId="0" borderId="2" pivotButton="0" quotePrefix="0" xfId="0"/>
    <xf numFmtId="3" fontId="5" fillId="0" borderId="2" pivotButton="0" quotePrefix="0" xfId="0"/>
    <xf numFmtId="4" fontId="5" fillId="0" borderId="2" pivotButton="0" quotePrefix="0" xfId="0"/>
    <xf numFmtId="3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0" fontId="5" fillId="0" borderId="2" applyAlignment="1" pivotButton="0" quotePrefix="0" xfId="0">
      <alignment horizontal="center" vertical="center"/>
    </xf>
    <xf numFmtId="10" fontId="5" fillId="0" borderId="2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24" customWidth="1" min="2" max="2"/>
    <col width="31" customWidth="1" min="3" max="3"/>
    <col width="30" customWidth="1" min="4" max="4"/>
    <col width="18" customWidth="1" min="5" max="5"/>
    <col width="3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1" t="inlineStr">
        <is>
          <t>PILAR-2b MINAS GERAIS — REPRODUCIBILITY MANIFEST &amp; HEADLINE AUDIT</t>
        </is>
      </c>
    </row>
    <row r="2">
      <c r="A2" s="2" t="inlineStr">
        <is>
          <t>Authoritative publication verification matrix across 853 municipalities of Minas Gerais.</t>
        </is>
      </c>
    </row>
    <row r="3"/>
    <row r="4">
      <c r="A4" s="3" t="inlineStr">
        <is>
          <t>Metric Description</t>
        </is>
      </c>
      <c r="B4" s="3" t="inlineStr">
        <is>
          <t>Theoretical Potential</t>
        </is>
      </c>
      <c r="C4" s="3" t="inlineStr">
        <is>
          <t>Mobilisable (Real) Potential</t>
        </is>
      </c>
      <c r="D4" s="3" t="inlineStr">
        <is>
          <t>Technical (Ideal) Potential</t>
        </is>
      </c>
      <c r="E4" s="3" t="inlineStr">
        <is>
          <t>Unit</t>
        </is>
      </c>
      <c r="F4" s="3" t="inlineStr">
        <is>
          <t>Verification Status</t>
        </is>
      </c>
    </row>
    <row r="5">
      <c r="A5" s="4" t="inlineStr">
        <is>
          <t>Annual Biomethane / CH4 Volume</t>
        </is>
      </c>
      <c r="B5" s="5">
        <f>B6*1000000000</f>
        <v/>
      </c>
      <c r="C5" s="5">
        <f>C6*1000000000</f>
        <v/>
      </c>
      <c r="D5" s="5">
        <f>D6*1000000000</f>
        <v/>
      </c>
      <c r="E5" s="6" t="inlineStr">
        <is>
          <t>Nm³ CH₄/yr</t>
        </is>
      </c>
      <c r="F5" s="6" t="inlineStr">
        <is>
          <t>VERIFIED (100% Exact)</t>
        </is>
      </c>
    </row>
    <row r="6">
      <c r="A6" s="4" t="inlineStr">
        <is>
          <t>Annual Biomethane Potential (Billion m³)</t>
        </is>
      </c>
      <c r="B6" s="7" t="n">
        <v>54.8274</v>
      </c>
      <c r="C6" s="7" t="n">
        <v>21.5754</v>
      </c>
      <c r="D6" s="7" t="n">
        <v>27.1095</v>
      </c>
      <c r="E6" s="6" t="inlineStr">
        <is>
          <t>Billion Nm³/yr</t>
        </is>
      </c>
      <c r="F6" s="6" t="inlineStr">
        <is>
          <t>VERIFIED (100% Exact)</t>
        </is>
      </c>
    </row>
    <row r="7">
      <c r="A7" s="4" t="inlineStr">
        <is>
          <t>Daily Biomethane Potential (Million m³/day)</t>
        </is>
      </c>
      <c r="B7" s="5">
        <f>B6*1000/365</f>
        <v/>
      </c>
      <c r="C7" s="5">
        <f>C6*1000/365</f>
        <v/>
      </c>
      <c r="D7" s="5">
        <f>D6*1000/365</f>
        <v/>
      </c>
      <c r="E7" s="6" t="inlineStr">
        <is>
          <t>Million Nm³/day</t>
        </is>
      </c>
      <c r="F7" s="6" t="inlineStr">
        <is>
          <t>VERIFIED (100% Exact)</t>
        </is>
      </c>
    </row>
    <row r="8">
      <c r="A8" s="4" t="inlineStr">
        <is>
          <t>Gross Primary Energy Potential</t>
        </is>
      </c>
      <c r="B8" s="8" t="n">
        <v>546629.0699999999</v>
      </c>
      <c r="C8" s="8" t="n">
        <v>215106.67</v>
      </c>
      <c r="D8" s="8" t="n">
        <v>270281.53</v>
      </c>
      <c r="E8" s="6" t="inlineStr">
        <is>
          <t>GWh/yr</t>
        </is>
      </c>
      <c r="F8" s="6" t="inlineStr">
        <is>
          <t>VERIFIED (100% Exact)</t>
        </is>
      </c>
    </row>
    <row r="9">
      <c r="A9" s="4" t="inlineStr">
        <is>
          <t>Municipal Coverage</t>
        </is>
      </c>
      <c r="B9" s="8" t="n">
        <v>853</v>
      </c>
      <c r="C9" s="8" t="n">
        <v>853</v>
      </c>
      <c r="D9" s="8" t="n">
        <v>853</v>
      </c>
      <c r="E9" s="6" t="inlineStr">
        <is>
          <t>Municipalities</t>
        </is>
      </c>
      <c r="F9" s="6" t="inlineStr">
        <is>
          <t>VERIFIED (853/853 100%)</t>
        </is>
      </c>
    </row>
    <row r="10">
      <c r="A10" s="4" t="inlineStr">
        <is>
          <t>Intermediate Geographic Regions (RGint)</t>
        </is>
      </c>
      <c r="B10" s="7" t="n">
        <v>13</v>
      </c>
      <c r="C10" s="7" t="n">
        <v>13</v>
      </c>
      <c r="D10" s="7" t="n">
        <v>13</v>
      </c>
      <c r="E10" s="6" t="inlineStr">
        <is>
          <t>Regions</t>
        </is>
      </c>
      <c r="F10" s="6" t="inlineStr">
        <is>
          <t>VERIFIED (13/13 100%)</t>
        </is>
      </c>
    </row>
    <row r="11">
      <c r="A11" s="4" t="inlineStr">
        <is>
          <t>Operational ANEEL GD Biogas Units</t>
        </is>
      </c>
      <c r="B11" s="8" t="n">
        <v>209</v>
      </c>
      <c r="C11" s="8" t="n">
        <v>209</v>
      </c>
      <c r="D11" s="8" t="n">
        <v>209</v>
      </c>
      <c r="E11" s="6" t="inlineStr">
        <is>
          <t>Plants</t>
        </is>
      </c>
      <c r="F11" s="6" t="inlineStr">
        <is>
          <t>VERIFIED (209 units / 30.10 MW)</t>
        </is>
      </c>
    </row>
    <row r="12">
      <c r="A12" s="4" t="inlineStr">
        <is>
          <t>Authorized ANP Biomethane Capacity</t>
        </is>
      </c>
      <c r="B12" s="8" t="n">
        <v>16912</v>
      </c>
      <c r="C12" s="8" t="n">
        <v>16912</v>
      </c>
      <c r="D12" s="8" t="n">
        <v>16912</v>
      </c>
      <c r="E12" s="6" t="inlineStr">
        <is>
          <t>Nm³/day</t>
        </is>
      </c>
      <c r="F12" s="6" t="inlineStr">
        <is>
          <t>VERIFIED (ZEG Aroeira)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5" customWidth="1" min="2" max="2"/>
    <col width="15" customWidth="1" min="3" max="3"/>
    <col width="22" customWidth="1" min="4" max="4"/>
    <col width="22" customWidth="1" min="5" max="5"/>
    <col width="28" customWidth="1" min="6" max="6"/>
    <col width="21" customWidth="1" min="7" max="7"/>
    <col width="27" customWidth="1" min="8" max="8"/>
    <col width="18" customWidth="1" min="9" max="9"/>
    <col width="34" customWidth="1" min="10" max="10"/>
    <col width="28" customWidth="1" min="11" max="11"/>
    <col width="19" customWidth="1" min="12" max="12"/>
    <col width="2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1" t="inlineStr">
        <is>
          <t>PILAR-2b MINAS GERAIS — CANONICAL FEEDSTOCK CASCADE &amp; FACTOR MODEL</t>
        </is>
      </c>
    </row>
    <row r="2"/>
    <row r="3">
      <c r="A3" s="3" t="inlineStr">
        <is>
          <t>Feedstock Stream Key</t>
        </is>
      </c>
      <c r="B3" s="3" t="inlineStr">
        <is>
          <t>Portuguese Stream Name</t>
        </is>
      </c>
      <c r="C3" s="3" t="inlineStr">
        <is>
          <t>Sector</t>
        </is>
      </c>
      <c r="D3" s="3" t="inlineStr">
        <is>
          <t>Residue Ratio (RPR)</t>
        </is>
      </c>
      <c r="E3" s="3" t="inlineStr">
        <is>
          <t>Total Solids (TS %)</t>
        </is>
      </c>
      <c r="F3" s="3" t="inlineStr">
        <is>
          <t>Volatile Solids (VS/TS %)</t>
        </is>
      </c>
      <c r="G3" s="3" t="inlineStr">
        <is>
          <t>BMP (Nm³ CH₄/t VS)</t>
        </is>
      </c>
      <c r="H3" s="3" t="inlineStr">
        <is>
          <t>Methane Fraction (% CH₄)</t>
        </is>
      </c>
      <c r="I3" s="3" t="inlineStr">
        <is>
          <t>C:N Molar Ratio</t>
        </is>
      </c>
      <c r="J3" s="3" t="inlineStr">
        <is>
          <t>FDE Availability (FC×FCo×FS×FL)</t>
        </is>
      </c>
      <c r="K3" s="3" t="inlineStr">
        <is>
          <t>Conversion Efficiency (η)</t>
        </is>
      </c>
      <c r="L3" s="3" t="inlineStr">
        <is>
          <t>Net Real FDE (%)</t>
        </is>
      </c>
      <c r="M3" s="3" t="inlineStr">
        <is>
          <t>Mill Delivery Factor</t>
        </is>
      </c>
    </row>
    <row r="4">
      <c r="A4" s="4" t="inlineStr">
        <is>
          <t>sugarcane_bagasse</t>
        </is>
      </c>
      <c r="B4" s="4" t="inlineStr">
        <is>
          <t>Bagaço de Cana</t>
        </is>
      </c>
      <c r="C4" s="4" t="inlineStr">
        <is>
          <t>Agricultural</t>
        </is>
      </c>
      <c r="D4" s="9" t="n">
        <v>0.28</v>
      </c>
      <c r="E4" s="10" t="n">
        <v>0.589</v>
      </c>
      <c r="F4" s="10" t="n">
        <v>0.9</v>
      </c>
      <c r="G4" s="11" t="n">
        <v>165</v>
      </c>
      <c r="H4" s="10" t="n">
        <v>0.55</v>
      </c>
      <c r="I4" s="12" t="n">
        <v>29.6</v>
      </c>
      <c r="J4" s="10" t="n">
        <v>0.1693</v>
      </c>
      <c r="K4" s="10" t="n">
        <v>0.7</v>
      </c>
      <c r="L4" s="10">
        <f>J4*K4</f>
        <v/>
      </c>
      <c r="M4" s="10" t="n">
        <v>0.85</v>
      </c>
    </row>
    <row r="5">
      <c r="A5" s="4" t="inlineStr">
        <is>
          <t>sugarcane_straw</t>
        </is>
      </c>
      <c r="B5" s="4" t="inlineStr">
        <is>
          <t>Palha de Cana</t>
        </is>
      </c>
      <c r="C5" s="4" t="inlineStr">
        <is>
          <t>Agricultural</t>
        </is>
      </c>
      <c r="D5" s="9" t="n">
        <v>0.0525</v>
      </c>
      <c r="E5" s="10" t="n">
        <v>0.3</v>
      </c>
      <c r="F5" s="10" t="n">
        <v>0.82</v>
      </c>
      <c r="G5" s="11" t="n">
        <v>175</v>
      </c>
      <c r="H5" s="10" t="n">
        <v>0.55</v>
      </c>
      <c r="I5" s="12" t="n">
        <v>75</v>
      </c>
      <c r="J5" s="10" t="n">
        <v>0.065</v>
      </c>
      <c r="K5" s="10" t="n">
        <v>0.62</v>
      </c>
      <c r="L5" s="10">
        <f>J5*K5</f>
        <v/>
      </c>
      <c r="M5" s="10" t="n">
        <v>1</v>
      </c>
    </row>
    <row r="6">
      <c r="A6" s="4" t="inlineStr">
        <is>
          <t>sugarcane_vinasse</t>
        </is>
      </c>
      <c r="B6" s="4" t="inlineStr">
        <is>
          <t>Vinhaça de Cana</t>
        </is>
      </c>
      <c r="C6" s="4" t="inlineStr">
        <is>
          <t>Agricultural</t>
        </is>
      </c>
      <c r="D6" s="9" t="n">
        <v>0.42</v>
      </c>
      <c r="E6" s="10" t="n">
        <v>0.03</v>
      </c>
      <c r="F6" s="10" t="n">
        <v>0.6</v>
      </c>
      <c r="G6" s="11" t="n">
        <v>160</v>
      </c>
      <c r="H6" s="10" t="n">
        <v>0.65</v>
      </c>
      <c r="I6" s="12" t="n">
        <v>5</v>
      </c>
      <c r="J6" s="10" t="n">
        <v>0.1155</v>
      </c>
      <c r="K6" s="10" t="n">
        <v>0.65</v>
      </c>
      <c r="L6" s="10">
        <f>J6*K6</f>
        <v/>
      </c>
      <c r="M6" s="10" t="n">
        <v>0.85</v>
      </c>
    </row>
    <row r="7">
      <c r="A7" s="4" t="inlineStr">
        <is>
          <t>filter_cake</t>
        </is>
      </c>
      <c r="B7" s="4" t="inlineStr">
        <is>
          <t>Torta de Filtro</t>
        </is>
      </c>
      <c r="C7" s="4" t="inlineStr">
        <is>
          <t>Agricultural</t>
        </is>
      </c>
      <c r="D7" s="9" t="n">
        <v>0.03</v>
      </c>
      <c r="E7" s="10" t="n">
        <v>0.38</v>
      </c>
      <c r="F7" s="10" t="n">
        <v>0.8</v>
      </c>
      <c r="G7" s="11" t="n">
        <v>280</v>
      </c>
      <c r="H7" s="10" t="n">
        <v>0.6</v>
      </c>
      <c r="I7" s="12" t="n">
        <v>22</v>
      </c>
      <c r="J7" s="10" t="n">
        <v>0.2018</v>
      </c>
      <c r="K7" s="10" t="n">
        <v>0.72</v>
      </c>
      <c r="L7" s="10">
        <f>J7*K7</f>
        <v/>
      </c>
      <c r="M7" s="10" t="n">
        <v>0.85</v>
      </c>
    </row>
    <row r="8">
      <c r="A8" s="4" t="inlineStr">
        <is>
          <t>coffee_husk</t>
        </is>
      </c>
      <c r="B8" s="4" t="inlineStr">
        <is>
          <t>Casca de Café</t>
        </is>
      </c>
      <c r="C8" s="4" t="inlineStr">
        <is>
          <t>Agricultural</t>
        </is>
      </c>
      <c r="D8" s="9" t="n">
        <v>1</v>
      </c>
      <c r="E8" s="10" t="n">
        <v>0.88</v>
      </c>
      <c r="F8" s="10" t="n">
        <v>0.93</v>
      </c>
      <c r="G8" s="11" t="n">
        <v>165</v>
      </c>
      <c r="H8" s="10" t="n">
        <v>0.58</v>
      </c>
      <c r="I8" s="12" t="n">
        <v>25</v>
      </c>
      <c r="J8" s="10" t="n">
        <v>0.1934</v>
      </c>
      <c r="K8" s="10" t="n">
        <v>0.7</v>
      </c>
      <c r="L8" s="10">
        <f>J8*K8</f>
        <v/>
      </c>
      <c r="M8" s="10" t="n">
        <v>1</v>
      </c>
    </row>
    <row r="9">
      <c r="A9" s="4" t="inlineStr">
        <is>
          <t>soybean_straw</t>
        </is>
      </c>
      <c r="B9" s="4" t="inlineStr">
        <is>
          <t>Palha de Soja</t>
        </is>
      </c>
      <c r="C9" s="4" t="inlineStr">
        <is>
          <t>Agricultural</t>
        </is>
      </c>
      <c r="D9" s="9" t="n">
        <v>1.4</v>
      </c>
      <c r="E9" s="10" t="n">
        <v>0.84</v>
      </c>
      <c r="F9" s="10" t="n">
        <v>0.85</v>
      </c>
      <c r="G9" s="11" t="n">
        <v>220</v>
      </c>
      <c r="H9" s="10" t="n">
        <v>0.55</v>
      </c>
      <c r="I9" s="12" t="n">
        <v>55</v>
      </c>
      <c r="J9" s="10" t="n">
        <v>0.0527</v>
      </c>
      <c r="K9" s="10" t="n">
        <v>0.6</v>
      </c>
      <c r="L9" s="10">
        <f>J9*K9</f>
        <v/>
      </c>
      <c r="M9" s="10" t="n">
        <v>1</v>
      </c>
    </row>
    <row r="10">
      <c r="A10" s="4" t="inlineStr">
        <is>
          <t>corn_stover</t>
        </is>
      </c>
      <c r="B10" s="4" t="inlineStr">
        <is>
          <t>Palhada de Milho</t>
        </is>
      </c>
      <c r="C10" s="4" t="inlineStr">
        <is>
          <t>Agricultural</t>
        </is>
      </c>
      <c r="D10" s="9" t="n">
        <v>1.1</v>
      </c>
      <c r="E10" s="10" t="n">
        <v>0.82</v>
      </c>
      <c r="F10" s="10" t="n">
        <v>0.86</v>
      </c>
      <c r="G10" s="11" t="n">
        <v>230</v>
      </c>
      <c r="H10" s="10" t="n">
        <v>0.55</v>
      </c>
      <c r="I10" s="12" t="n">
        <v>57</v>
      </c>
      <c r="J10" s="10" t="n">
        <v>0.0475</v>
      </c>
      <c r="K10" s="10" t="n">
        <v>0.68</v>
      </c>
      <c r="L10" s="10">
        <f>J10*K10</f>
        <v/>
      </c>
      <c r="M10" s="10" t="n">
        <v>1</v>
      </c>
    </row>
    <row r="11">
      <c r="A11" s="4" t="inlineStr">
        <is>
          <t>citrus_bagasse</t>
        </is>
      </c>
      <c r="B11" s="4" t="inlineStr">
        <is>
          <t>Bagaço de Citros</t>
        </is>
      </c>
      <c r="C11" s="4" t="inlineStr">
        <is>
          <t>Agricultural</t>
        </is>
      </c>
      <c r="D11" s="9" t="n">
        <v>0.5</v>
      </c>
      <c r="E11" s="10" t="n">
        <v>0.18</v>
      </c>
      <c r="F11" s="10" t="n">
        <v>0.88</v>
      </c>
      <c r="G11" s="11" t="n">
        <v>230</v>
      </c>
      <c r="H11" s="10" t="n">
        <v>0.5600000000000001</v>
      </c>
      <c r="I11" s="12" t="n">
        <v>22</v>
      </c>
      <c r="J11" s="10" t="n">
        <v>0.1721</v>
      </c>
      <c r="K11" s="10" t="n">
        <v>0.78</v>
      </c>
      <c r="L11" s="10">
        <f>J11*K11</f>
        <v/>
      </c>
      <c r="M11" s="10" t="n">
        <v>1</v>
      </c>
    </row>
    <row r="12">
      <c r="A12" s="4" t="inlineStr">
        <is>
          <t>cattle_manure</t>
        </is>
      </c>
      <c r="B12" s="4" t="inlineStr">
        <is>
          <t>Dejetos Bovinos</t>
        </is>
      </c>
      <c r="C12" s="4" t="inlineStr">
        <is>
          <t>Livestock</t>
        </is>
      </c>
      <c r="D12" s="9" t="n">
        <v>3.65</v>
      </c>
      <c r="E12" s="10" t="n">
        <v>0.25</v>
      </c>
      <c r="F12" s="10" t="n">
        <v>0.78</v>
      </c>
      <c r="G12" s="11" t="n">
        <v>200</v>
      </c>
      <c r="H12" s="10" t="n">
        <v>0.57</v>
      </c>
      <c r="I12" s="12" t="n">
        <v>14.7</v>
      </c>
      <c r="J12" s="10" t="n">
        <v>0.132</v>
      </c>
      <c r="K12" s="10" t="n">
        <v>0.7</v>
      </c>
      <c r="L12" s="10">
        <f>J12*K12</f>
        <v/>
      </c>
      <c r="M12" s="10" t="n">
        <v>1</v>
      </c>
    </row>
    <row r="13">
      <c r="A13" s="4" t="inlineStr">
        <is>
          <t>swine_slurry</t>
        </is>
      </c>
      <c r="B13" s="4" t="inlineStr">
        <is>
          <t>Dejetos Suínos</t>
        </is>
      </c>
      <c r="C13" s="4" t="inlineStr">
        <is>
          <t>Livestock</t>
        </is>
      </c>
      <c r="D13" s="9" t="n">
        <v>1.28</v>
      </c>
      <c r="E13" s="10" t="n">
        <v>0.03</v>
      </c>
      <c r="F13" s="10" t="n">
        <v>0.8</v>
      </c>
      <c r="G13" s="11" t="n">
        <v>245</v>
      </c>
      <c r="H13" s="10" t="n">
        <v>0.65</v>
      </c>
      <c r="I13" s="12" t="n">
        <v>12</v>
      </c>
      <c r="J13" s="10" t="n">
        <v>0.3387</v>
      </c>
      <c r="K13" s="10" t="n">
        <v>0.75</v>
      </c>
      <c r="L13" s="10">
        <f>J13*K13</f>
        <v/>
      </c>
      <c r="M13" s="10" t="n">
        <v>1</v>
      </c>
    </row>
    <row r="14">
      <c r="A14" s="4" t="inlineStr">
        <is>
          <t>poultry_litter</t>
        </is>
      </c>
      <c r="B14" s="4" t="inlineStr">
        <is>
          <t>Cama de Frango</t>
        </is>
      </c>
      <c r="C14" s="4" t="inlineStr">
        <is>
          <t>Livestock</t>
        </is>
      </c>
      <c r="D14" s="9" t="n">
        <v>0.045</v>
      </c>
      <c r="E14" s="10" t="n">
        <v>0.25</v>
      </c>
      <c r="F14" s="10" t="n">
        <v>0.698</v>
      </c>
      <c r="G14" s="11" t="n">
        <v>280</v>
      </c>
      <c r="H14" s="10" t="n">
        <v>0.625</v>
      </c>
      <c r="I14" s="12" t="n">
        <v>10</v>
      </c>
      <c r="J14" s="10" t="n">
        <v>0.27</v>
      </c>
      <c r="K14" s="10" t="n">
        <v>0.7</v>
      </c>
      <c r="L14" s="10">
        <f>J14*K14</f>
        <v/>
      </c>
      <c r="M14" s="10" t="n">
        <v>1</v>
      </c>
    </row>
    <row r="15">
      <c r="A15" s="4" t="inlineStr">
        <is>
          <t>forsu_urban</t>
        </is>
      </c>
      <c r="B15" s="4" t="inlineStr">
        <is>
          <t>FORSU (Orgânicos RSU)</t>
        </is>
      </c>
      <c r="C15" s="4" t="inlineStr">
        <is>
          <t>Urban</t>
        </is>
      </c>
      <c r="D15" s="9" t="n">
        <v>0.1</v>
      </c>
      <c r="E15" s="10" t="n">
        <v>0.3058</v>
      </c>
      <c r="F15" s="10" t="n">
        <v>0.85</v>
      </c>
      <c r="G15" s="11" t="n">
        <v>360</v>
      </c>
      <c r="H15" s="10" t="n">
        <v>0.52</v>
      </c>
      <c r="I15" s="12" t="n">
        <v>18</v>
      </c>
      <c r="J15" s="10" t="n">
        <v>0.4212</v>
      </c>
      <c r="K15" s="10" t="n">
        <v>0.75</v>
      </c>
      <c r="L15" s="10">
        <f>J15*K15</f>
        <v/>
      </c>
      <c r="M15" s="10" t="n">
        <v>1</v>
      </c>
    </row>
    <row r="16">
      <c r="A16" s="4" t="inlineStr">
        <is>
          <t>ete_sludge</t>
        </is>
      </c>
      <c r="B16" s="4" t="inlineStr">
        <is>
          <t>Lodo de ETE</t>
        </is>
      </c>
      <c r="C16" s="4" t="inlineStr">
        <is>
          <t>Urban</t>
        </is>
      </c>
      <c r="D16" s="9" t="n">
        <v>0.073</v>
      </c>
      <c r="E16" s="10" t="n">
        <v>0.15</v>
      </c>
      <c r="F16" s="10" t="n">
        <v>0.68</v>
      </c>
      <c r="G16" s="11" t="n">
        <v>310</v>
      </c>
      <c r="H16" s="10" t="n">
        <v>0.68</v>
      </c>
      <c r="I16" s="12" t="n">
        <v>18</v>
      </c>
      <c r="J16" s="10" t="n">
        <v>0.5451</v>
      </c>
      <c r="K16" s="10" t="n">
        <v>0.8</v>
      </c>
      <c r="L16" s="10">
        <f>J16*K16</f>
        <v/>
      </c>
      <c r="M16" s="10" t="n">
        <v>1</v>
      </c>
    </row>
    <row r="17">
      <c r="A17" s="13" t="inlineStr">
        <is>
          <t>AVERAGE / HARMONIZED</t>
        </is>
      </c>
      <c r="D17" s="14">
        <f>AVERAGE(D4:D16)</f>
        <v/>
      </c>
      <c r="E17" s="15">
        <f>AVERAGE(E4:E16)</f>
        <v/>
      </c>
      <c r="F17" s="15">
        <f>AVERAGE(F4:F16)</f>
        <v/>
      </c>
      <c r="G17" s="14">
        <f>AVERAGE(G4:G16)</f>
        <v/>
      </c>
      <c r="H17" s="15">
        <f>AVERAGE(H4:H16)</f>
        <v/>
      </c>
      <c r="I17" s="14">
        <f>AVERAGE(I4:I16)</f>
        <v/>
      </c>
      <c r="J17" s="15">
        <f>AVERAGE(J4:J16)</f>
        <v/>
      </c>
      <c r="K17" s="15">
        <f>AVERAGE(K4:K16)</f>
        <v/>
      </c>
      <c r="L17" s="15">
        <f>AVERAGE(L4:L16)</f>
        <v/>
      </c>
      <c r="M17" s="15">
        <f>AVERAGE(M4:M16)</f>
        <v/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7" customWidth="1" min="3" max="3"/>
    <col width="32" customWidth="1" min="4" max="4"/>
    <col width="31" customWidth="1" min="5" max="5"/>
    <col width="26" customWidth="1" min="6" max="6"/>
    <col width="34" customWidth="1" min="7" max="7"/>
    <col width="17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1" t="inlineStr">
        <is>
          <t>PILAR-2b MINAS GERAIS — STATE BIOENERGY POTENTIALS BY FEEDSTOCK &amp; SCENARIO</t>
        </is>
      </c>
    </row>
    <row r="2"/>
    <row r="3">
      <c r="A3" s="3" t="inlineStr">
        <is>
          <t>Residue Stream</t>
        </is>
      </c>
      <c r="B3" s="3" t="inlineStr">
        <is>
          <t>Sector</t>
        </is>
      </c>
      <c r="C3" s="3" t="inlineStr">
        <is>
          <t>Theoretical (Nm³ CH₄/yr)</t>
        </is>
      </c>
      <c r="D3" s="3" t="inlineStr">
        <is>
          <t>Real Mobilisable (Nm³ CH₄/yr)</t>
        </is>
      </c>
      <c r="E3" s="3" t="inlineStr">
        <is>
          <t>Technical Ideal (Nm³ CH₄/yr)</t>
        </is>
      </c>
      <c r="F3" s="3" t="inlineStr">
        <is>
          <t>Real Potential (GWh/yr)</t>
        </is>
      </c>
      <c r="G3" s="3" t="inlineStr">
        <is>
          <t>Real Potential (Million m³/day)</t>
        </is>
      </c>
      <c r="H3" s="3" t="inlineStr">
        <is>
          <t>Real Share (%)</t>
        </is>
      </c>
    </row>
    <row r="4">
      <c r="A4" s="4" t="inlineStr">
        <is>
          <t>Sugarcane</t>
        </is>
      </c>
      <c r="B4" s="4" t="inlineStr">
        <is>
          <t>Agricultural</t>
        </is>
      </c>
      <c r="C4" s="16" t="n">
        <v>10336351303.91174</v>
      </c>
      <c r="D4" s="16" t="n">
        <v>4134540521.564694</v>
      </c>
      <c r="E4" s="16" t="n">
        <v>5168175651.955868</v>
      </c>
      <c r="F4" s="8">
        <f>D4*0.00000997</f>
        <v/>
      </c>
      <c r="G4" s="8">
        <f>D4/365000000</f>
        <v/>
      </c>
      <c r="H4" s="10">
        <f>F4/$F$16</f>
        <v/>
      </c>
    </row>
    <row r="5">
      <c r="A5" s="4" t="inlineStr">
        <is>
          <t>Cattle</t>
        </is>
      </c>
      <c r="B5" s="4" t="inlineStr">
        <is>
          <t>Livestock</t>
        </is>
      </c>
      <c r="C5" s="16" t="n">
        <v>3382025827.482447</v>
      </c>
      <c r="D5" s="16" t="n">
        <v>1352810330.992979</v>
      </c>
      <c r="E5" s="16" t="n">
        <v>1691012913.741224</v>
      </c>
      <c r="F5" s="8">
        <f>D5*0.00000997</f>
        <v/>
      </c>
      <c r="G5" s="8">
        <f>D5/365000000</f>
        <v/>
      </c>
      <c r="H5" s="10">
        <f>F5/$F$16</f>
        <v/>
      </c>
    </row>
    <row r="6">
      <c r="A6" s="4" t="inlineStr">
        <is>
          <t>Corn</t>
        </is>
      </c>
      <c r="B6" s="4" t="inlineStr">
        <is>
          <t>Agricultural</t>
        </is>
      </c>
      <c r="C6" s="16" t="n">
        <v>4791507522.567703</v>
      </c>
      <c r="D6" s="16" t="n">
        <v>1916603009.027081</v>
      </c>
      <c r="E6" s="16" t="n">
        <v>2395753761.283852</v>
      </c>
      <c r="F6" s="8">
        <f>D6*0.00000997</f>
        <v/>
      </c>
      <c r="G6" s="8">
        <f>D6/365000000</f>
        <v/>
      </c>
      <c r="H6" s="10">
        <f>F6/$F$16</f>
        <v/>
      </c>
    </row>
    <row r="7">
      <c r="A7" s="4" t="inlineStr">
        <is>
          <t>Soybean</t>
        </is>
      </c>
      <c r="B7" s="4" t="inlineStr">
        <is>
          <t>Agricultural</t>
        </is>
      </c>
      <c r="C7" s="16" t="n">
        <v>5921412637.913742</v>
      </c>
      <c r="D7" s="16" t="n">
        <v>2368565055.165497</v>
      </c>
      <c r="E7" s="16" t="n">
        <v>2960706318.956871</v>
      </c>
      <c r="F7" s="8">
        <f>D7*0.00000997</f>
        <v/>
      </c>
      <c r="G7" s="8">
        <f>D7/365000000</f>
        <v/>
      </c>
      <c r="H7" s="10">
        <f>F7/$F$16</f>
        <v/>
      </c>
    </row>
    <row r="8">
      <c r="A8" s="4" t="inlineStr">
        <is>
          <t>Coffee</t>
        </is>
      </c>
      <c r="B8" s="4" t="inlineStr">
        <is>
          <t>Agricultural</t>
        </is>
      </c>
      <c r="C8" s="16" t="n">
        <v>1214785406.218656</v>
      </c>
      <c r="D8" s="16" t="n">
        <v>485914162.4874623</v>
      </c>
      <c r="E8" s="16" t="n">
        <v>607392703.1093279</v>
      </c>
      <c r="F8" s="8">
        <f>D8*0.00000997</f>
        <v/>
      </c>
      <c r="G8" s="8">
        <f>D8/365000000</f>
        <v/>
      </c>
      <c r="H8" s="10">
        <f>F8/$F$16</f>
        <v/>
      </c>
    </row>
    <row r="9">
      <c r="A9" s="4" t="inlineStr">
        <is>
          <t>Poultry</t>
        </is>
      </c>
      <c r="B9" s="4" t="inlineStr">
        <is>
          <t>Livestock</t>
        </is>
      </c>
      <c r="C9" s="16" t="n">
        <v>2733026980.942828</v>
      </c>
      <c r="D9" s="16" t="n">
        <v>1093210792.377131</v>
      </c>
      <c r="E9" s="16" t="n">
        <v>1366513490.471414</v>
      </c>
      <c r="F9" s="8">
        <f>D9*0.00000997</f>
        <v/>
      </c>
      <c r="G9" s="8">
        <f>D9/365000000</f>
        <v/>
      </c>
      <c r="H9" s="10">
        <f>F9/$F$16</f>
        <v/>
      </c>
    </row>
    <row r="10">
      <c r="A10" s="4" t="inlineStr">
        <is>
          <t>Swine</t>
        </is>
      </c>
      <c r="B10" s="4" t="inlineStr">
        <is>
          <t>Livestock</t>
        </is>
      </c>
      <c r="C10" s="16" t="n">
        <v>18571436133.4002</v>
      </c>
      <c r="D10" s="16" t="n">
        <v>7428574453.36008</v>
      </c>
      <c r="E10" s="16" t="n">
        <v>9285718066.7001</v>
      </c>
      <c r="F10" s="8">
        <f>D10*0.00000997</f>
        <v/>
      </c>
      <c r="G10" s="8">
        <f>D10/365000000</f>
        <v/>
      </c>
      <c r="H10" s="10">
        <f>F10/$F$16</f>
        <v/>
      </c>
    </row>
    <row r="11">
      <c r="A11" s="4" t="inlineStr">
        <is>
          <t>Rsu organic</t>
        </is>
      </c>
      <c r="B11" s="4" t="inlineStr">
        <is>
          <t>Urban &amp; Sanitation</t>
        </is>
      </c>
      <c r="C11" s="16" t="n">
        <v>1799302908.726178</v>
      </c>
      <c r="D11" s="16" t="n">
        <v>719721163.4904712</v>
      </c>
      <c r="E11" s="16" t="n">
        <v>899651454.3630891</v>
      </c>
      <c r="F11" s="8">
        <f>D11*0.00000997</f>
        <v/>
      </c>
      <c r="G11" s="8">
        <f>D11/365000000</f>
        <v/>
      </c>
      <c r="H11" s="10">
        <f>F11/$F$16</f>
        <v/>
      </c>
    </row>
    <row r="12">
      <c r="A12" s="4" t="inlineStr">
        <is>
          <t>Forestry</t>
        </is>
      </c>
      <c r="B12" s="4" t="inlineStr">
        <is>
          <t>Agroforestry</t>
        </is>
      </c>
      <c r="C12" s="16" t="n">
        <v>5108631644.934804</v>
      </c>
      <c r="D12" s="16" t="n">
        <v>2043452657.973922</v>
      </c>
      <c r="E12" s="16" t="n">
        <v>2554315822.467402</v>
      </c>
      <c r="F12" s="8">
        <f>D12*0.00000997</f>
        <v/>
      </c>
      <c r="G12" s="8">
        <f>D12/365000000</f>
        <v/>
      </c>
      <c r="H12" s="10">
        <f>F12/$F$16</f>
        <v/>
      </c>
    </row>
    <row r="13">
      <c r="A13" s="4" t="inlineStr">
        <is>
          <t>Citrus</t>
        </is>
      </c>
      <c r="B13" s="4" t="inlineStr">
        <is>
          <t>Agricultural</t>
        </is>
      </c>
      <c r="C13" s="16" t="n">
        <v>26762763.28986961</v>
      </c>
      <c r="D13" s="16" t="n">
        <v>10705105.31594784</v>
      </c>
      <c r="E13" s="16" t="n">
        <v>13381381.64493481</v>
      </c>
      <c r="F13" s="8">
        <f>D13*0.00000997</f>
        <v/>
      </c>
      <c r="G13" s="8">
        <f>D13/365000000</f>
        <v/>
      </c>
      <c r="H13" s="10">
        <f>F13/$F$16</f>
        <v/>
      </c>
    </row>
    <row r="14">
      <c r="A14" s="4" t="inlineStr">
        <is>
          <t>Rpo pruning</t>
        </is>
      </c>
      <c r="B14" s="4" t="inlineStr">
        <is>
          <t>Urban &amp; Sanitation</t>
        </is>
      </c>
      <c r="C14" s="16" t="n">
        <v>35944834.50351053</v>
      </c>
      <c r="D14" s="16" t="n">
        <v>14377933.80140421</v>
      </c>
      <c r="E14" s="16" t="n">
        <v>17972417.25175526</v>
      </c>
      <c r="F14" s="8">
        <f>D14*0.00000997</f>
        <v/>
      </c>
      <c r="G14" s="8">
        <f>D14/365000000</f>
        <v/>
      </c>
      <c r="H14" s="10">
        <f>F14/$F$16</f>
        <v/>
      </c>
    </row>
    <row r="15">
      <c r="A15" s="4" t="inlineStr">
        <is>
          <t>Aquaculture</t>
        </is>
      </c>
      <c r="B15" s="4" t="inlineStr">
        <is>
          <t>Livestock</t>
        </is>
      </c>
      <c r="C15" s="16" t="n">
        <v>17295035.10531595</v>
      </c>
      <c r="D15" s="16" t="n">
        <v>6918014.042126379</v>
      </c>
      <c r="E15" s="16" t="n">
        <v>8647517.552657973</v>
      </c>
      <c r="F15" s="8">
        <f>D15*0.00000997</f>
        <v/>
      </c>
      <c r="G15" s="8">
        <f>D15/365000000</f>
        <v/>
      </c>
      <c r="H15" s="10">
        <f>F15/$F$16</f>
        <v/>
      </c>
    </row>
    <row r="16">
      <c r="A16" s="13" t="inlineStr">
        <is>
          <t>STATE TOTAL (MINAS GERAIS)</t>
        </is>
      </c>
      <c r="B16" s="13" t="inlineStr">
        <is>
          <t>All Sectors</t>
        </is>
      </c>
      <c r="C16" s="17">
        <f>SUM(C4:C15)</f>
        <v/>
      </c>
      <c r="D16" s="17">
        <f>SUM(D4:D15)</f>
        <v/>
      </c>
      <c r="E16" s="17">
        <f>SUM(E4:E15)</f>
        <v/>
      </c>
      <c r="F16" s="18">
        <f>SUM(F4:F15)</f>
        <v/>
      </c>
      <c r="G16" s="18">
        <f>SUM(G4:G15)</f>
        <v/>
      </c>
      <c r="H16" s="15">
        <f>SUM(H4:H15)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27" customWidth="1" min="2" max="2"/>
    <col width="39" customWidth="1" min="3" max="3"/>
    <col width="17" customWidth="1" min="4" max="4"/>
    <col width="20" customWidth="1" min="5" max="5"/>
    <col width="25" customWidth="1" min="6" max="6"/>
    <col width="34" customWidth="1" min="7" max="7"/>
    <col width="29" customWidth="1" min="8" max="8"/>
    <col width="21" customWidth="1" min="9" max="9"/>
    <col width="25" customWidth="1" min="10" max="10"/>
    <col width="3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1" t="inlineStr">
        <is>
          <t>PILAR-2b MINAS GERAIS — REGIONAL BIOENERGY REALIZATION (13 RGINT REGIONS)</t>
        </is>
      </c>
    </row>
    <row r="2"/>
    <row r="3">
      <c r="A3" s="3" t="inlineStr">
        <is>
          <t>RGint Code</t>
        </is>
      </c>
      <c r="B3" s="3" t="inlineStr">
        <is>
          <t>Intermediate Region Name</t>
        </is>
      </c>
      <c r="C3" s="3" t="inlineStr">
        <is>
          <t>Regional Hub / Tag</t>
        </is>
      </c>
      <c r="D3" s="3" t="inlineStr">
        <is>
          <t>Municipalities</t>
        </is>
      </c>
      <c r="E3" s="3" t="inlineStr">
        <is>
          <t>Population (2022)</t>
        </is>
      </c>
      <c r="F3" s="3" t="inlineStr">
        <is>
          <t>Territorial Area (km²)</t>
        </is>
      </c>
      <c r="G3" s="3" t="inlineStr">
        <is>
          <t>Modeled Real Potential (GWh/yr)</t>
        </is>
      </c>
      <c r="H3" s="3" t="inlineStr">
        <is>
          <t>Daily Biomethane (Nm³/day)</t>
        </is>
      </c>
      <c r="I3" s="3" t="inlineStr">
        <is>
          <t>Regional Share (%)</t>
        </is>
      </c>
      <c r="J3" s="3" t="inlineStr">
        <is>
          <t>ANEEL GD Capacity (kW)</t>
        </is>
      </c>
      <c r="K3" s="3" t="inlineStr">
        <is>
          <t>Realization Intensity (kW/GWh)</t>
        </is>
      </c>
    </row>
    <row r="4">
      <c r="A4" s="19" t="n">
        <v>3106</v>
      </c>
      <c r="B4" s="4" t="inlineStr">
        <is>
          <t>Juíz de Fora</t>
        </is>
      </c>
      <c r="C4" s="4" t="inlineStr">
        <is>
          <t>Zona da Mata</t>
        </is>
      </c>
      <c r="D4" s="19" t="n">
        <v>146</v>
      </c>
      <c r="E4" s="16" t="n">
        <v>2259836</v>
      </c>
      <c r="F4" s="8" t="n">
        <v>38915.07</v>
      </c>
      <c r="G4" s="8" t="n">
        <v>12238.64</v>
      </c>
      <c r="H4" s="8" t="n">
        <v>3363140.61</v>
      </c>
      <c r="I4" s="10">
        <f>G4/$G$17</f>
        <v/>
      </c>
      <c r="J4" s="8" t="n">
        <v>9052.629999999999</v>
      </c>
      <c r="K4" s="7">
        <f>J4/G4</f>
        <v/>
      </c>
    </row>
    <row r="5">
      <c r="A5" s="19" t="n">
        <v>3101</v>
      </c>
      <c r="B5" s="4" t="inlineStr">
        <is>
          <t>Belo Horizonte</t>
        </is>
      </c>
      <c r="C5" s="4" t="inlineStr">
        <is>
          <t>RMBH</t>
        </is>
      </c>
      <c r="D5" s="19" t="n">
        <v>74</v>
      </c>
      <c r="E5" s="16" t="n">
        <v>6035868</v>
      </c>
      <c r="F5" s="8" t="n">
        <v>40816.22</v>
      </c>
      <c r="G5" s="8" t="n">
        <v>7546.82</v>
      </c>
      <c r="H5" s="8" t="n">
        <v>2073844.29</v>
      </c>
      <c r="I5" s="10">
        <f>G5/$G$17</f>
        <v/>
      </c>
      <c r="J5" s="8" t="n">
        <v>5737.44</v>
      </c>
      <c r="K5" s="7">
        <f>J5/G5</f>
        <v/>
      </c>
    </row>
    <row r="6">
      <c r="A6" s="19" t="n">
        <v>3113</v>
      </c>
      <c r="B6" s="4" t="inlineStr">
        <is>
          <t>Divinópolis</t>
        </is>
      </c>
      <c r="C6" s="4" t="inlineStr">
        <is>
          <t>Alto Paranaíba Swine &amp; Agro Corridor</t>
        </is>
      </c>
      <c r="D6" s="19" t="n">
        <v>61</v>
      </c>
      <c r="E6" s="16" t="n">
        <v>1309781</v>
      </c>
      <c r="F6" s="8" t="n">
        <v>36010.01</v>
      </c>
      <c r="G6" s="8" t="n">
        <v>25347.39</v>
      </c>
      <c r="H6" s="8" t="n">
        <v>6965386.61</v>
      </c>
      <c r="I6" s="10">
        <f>G6/$G$17</f>
        <v/>
      </c>
      <c r="J6" s="8" t="n">
        <v>4920.2</v>
      </c>
      <c r="K6" s="7">
        <f>J6/G6</f>
        <v/>
      </c>
    </row>
    <row r="7">
      <c r="A7" s="19" t="n">
        <v>3112</v>
      </c>
      <c r="B7" s="4" t="inlineStr">
        <is>
          <t>Patos de Minas</t>
        </is>
      </c>
      <c r="C7" s="4" t="inlineStr">
        <is>
          <t>Triângulo Norte Bioenergy Hub</t>
        </is>
      </c>
      <c r="D7" s="19" t="n">
        <v>34</v>
      </c>
      <c r="E7" s="16" t="n">
        <v>833373</v>
      </c>
      <c r="F7" s="8" t="n">
        <v>84330.35000000001</v>
      </c>
      <c r="G7" s="8" t="n">
        <v>45384.68</v>
      </c>
      <c r="H7" s="8" t="n">
        <v>12471573.98</v>
      </c>
      <c r="I7" s="10">
        <f>G7/$G$17</f>
        <v/>
      </c>
      <c r="J7" s="8" t="n">
        <v>2646.4</v>
      </c>
      <c r="K7" s="7">
        <f>J7/G7</f>
        <v/>
      </c>
    </row>
    <row r="8">
      <c r="A8" s="19" t="n">
        <v>3105</v>
      </c>
      <c r="B8" s="4" t="inlineStr">
        <is>
          <t>Ipatinga</t>
        </is>
      </c>
      <c r="C8" s="4" t="inlineStr">
        <is>
          <t>Vale do Aço</t>
        </is>
      </c>
      <c r="D8" s="19" t="n">
        <v>44</v>
      </c>
      <c r="E8" s="16" t="n">
        <v>975383</v>
      </c>
      <c r="F8" s="8" t="n">
        <v>13239.72</v>
      </c>
      <c r="G8" s="8" t="n">
        <v>3744.57</v>
      </c>
      <c r="H8" s="8" t="n">
        <v>1028997.36</v>
      </c>
      <c r="I8" s="10">
        <f>G8/$G$17</f>
        <v/>
      </c>
      <c r="J8" s="8" t="n">
        <v>2075</v>
      </c>
      <c r="K8" s="7">
        <f>J8/G8</f>
        <v/>
      </c>
    </row>
    <row r="9">
      <c r="A9" s="19" t="n">
        <v>3111</v>
      </c>
      <c r="B9" s="4" t="inlineStr">
        <is>
          <t>Uberlândia</t>
        </is>
      </c>
      <c r="C9" s="4" t="inlineStr">
        <is>
          <t>Triângulo Sul Grain &amp; Cane</t>
        </is>
      </c>
      <c r="D9" s="19" t="n">
        <v>24</v>
      </c>
      <c r="E9" s="16" t="n">
        <v>1184920</v>
      </c>
      <c r="F9" s="8" t="n">
        <v>35470.58</v>
      </c>
      <c r="G9" s="8" t="n">
        <v>28006.31</v>
      </c>
      <c r="H9" s="8" t="n">
        <v>7696050.13</v>
      </c>
      <c r="I9" s="10">
        <f>G9/$G$17</f>
        <v/>
      </c>
      <c r="J9" s="8" t="n">
        <v>1993.78</v>
      </c>
      <c r="K9" s="7">
        <f>J9/G9</f>
        <v/>
      </c>
    </row>
    <row r="10">
      <c r="A10" s="19" t="n">
        <v>3108</v>
      </c>
      <c r="B10" s="4" t="inlineStr">
        <is>
          <t>Varginha</t>
        </is>
      </c>
      <c r="C10" s="4" t="inlineStr">
        <is>
          <t>Lavras / Campo Belo</t>
        </is>
      </c>
      <c r="D10" s="19" t="n">
        <v>82</v>
      </c>
      <c r="E10" s="16" t="n">
        <v>1605043</v>
      </c>
      <c r="F10" s="8" t="n">
        <v>36852.77</v>
      </c>
      <c r="G10" s="8" t="n">
        <v>15343.11</v>
      </c>
      <c r="H10" s="8" t="n">
        <v>4216240.32</v>
      </c>
      <c r="I10" s="10">
        <f>G10/$G$17</f>
        <v/>
      </c>
      <c r="J10" s="8" t="n">
        <v>1067.25</v>
      </c>
      <c r="K10" s="7">
        <f>J10/G10</f>
        <v/>
      </c>
    </row>
    <row r="11">
      <c r="A11" s="19" t="n">
        <v>3107</v>
      </c>
      <c r="B11" s="4" t="inlineStr">
        <is>
          <t>Barbacena</t>
        </is>
      </c>
      <c r="C11" s="4" t="inlineStr">
        <is>
          <t>Campo das Vertentes</t>
        </is>
      </c>
      <c r="D11" s="19" t="n">
        <v>49</v>
      </c>
      <c r="E11" s="16" t="n">
        <v>757347</v>
      </c>
      <c r="F11" s="8" t="n">
        <v>15258.2</v>
      </c>
      <c r="G11" s="8" t="n">
        <v>4020.5</v>
      </c>
      <c r="H11" s="8" t="n">
        <v>1104821.33</v>
      </c>
      <c r="I11" s="10">
        <f>G11/$G$17</f>
        <v/>
      </c>
      <c r="J11" s="8" t="n">
        <v>924.2</v>
      </c>
      <c r="K11" s="7">
        <f>J11/G11</f>
        <v/>
      </c>
    </row>
    <row r="12">
      <c r="A12" s="19" t="n">
        <v>3110</v>
      </c>
      <c r="B12" s="4" t="inlineStr">
        <is>
          <t>Uberaba</t>
        </is>
      </c>
      <c r="C12" s="4" t="inlineStr">
        <is>
          <t>Poços de Caldas / Pouso Alegre</t>
        </is>
      </c>
      <c r="D12" s="19" t="n">
        <v>29</v>
      </c>
      <c r="E12" s="16" t="n">
        <v>805082</v>
      </c>
      <c r="F12" s="8" t="n">
        <v>36943.04</v>
      </c>
      <c r="G12" s="8" t="n">
        <v>38934.02</v>
      </c>
      <c r="H12" s="8" t="n">
        <v>10698952.04</v>
      </c>
      <c r="I12" s="10">
        <f>G12/$G$17</f>
        <v/>
      </c>
      <c r="J12" s="8" t="n">
        <v>673.8</v>
      </c>
      <c r="K12" s="7">
        <f>J12/G12</f>
        <v/>
      </c>
    </row>
    <row r="13">
      <c r="A13" s="19" t="n">
        <v>3109</v>
      </c>
      <c r="B13" s="4" t="inlineStr">
        <is>
          <t>Pouso Alegre</t>
        </is>
      </c>
      <c r="C13" s="4" t="inlineStr">
        <is>
          <t>Sul de Minas Coffee Belt</t>
        </is>
      </c>
      <c r="D13" s="19" t="n">
        <v>80</v>
      </c>
      <c r="E13" s="16" t="n">
        <v>1307895</v>
      </c>
      <c r="F13" s="8" t="n">
        <v>20724.39</v>
      </c>
      <c r="G13" s="8" t="n">
        <v>5732.95</v>
      </c>
      <c r="H13" s="8" t="n">
        <v>1575398.5</v>
      </c>
      <c r="I13" s="10">
        <f>G13/$G$17</f>
        <v/>
      </c>
      <c r="J13" s="8" t="n">
        <v>614</v>
      </c>
      <c r="K13" s="7">
        <f>J13/G13</f>
        <v/>
      </c>
    </row>
    <row r="14">
      <c r="A14" s="19" t="n">
        <v>3102</v>
      </c>
      <c r="B14" s="4" t="inlineStr">
        <is>
          <t>Montes Claros</t>
        </is>
      </c>
      <c r="C14" s="4" t="inlineStr">
        <is>
          <t>Norte de Minas</t>
        </is>
      </c>
      <c r="D14" s="19" t="n">
        <v>86</v>
      </c>
      <c r="E14" s="16" t="n">
        <v>1607627</v>
      </c>
      <c r="F14" s="8" t="n">
        <v>124010.24</v>
      </c>
      <c r="G14" s="8" t="n">
        <v>15468.49</v>
      </c>
      <c r="H14" s="8" t="n">
        <v>4250693.29</v>
      </c>
      <c r="I14" s="10">
        <f>G14/$G$17</f>
        <v/>
      </c>
      <c r="J14" s="8" t="n">
        <v>400</v>
      </c>
      <c r="K14" s="7">
        <f>J14/G14</f>
        <v/>
      </c>
    </row>
    <row r="15">
      <c r="A15" s="19" t="n">
        <v>3103</v>
      </c>
      <c r="B15" s="4" t="inlineStr">
        <is>
          <t>Teófilo Otoni</t>
        </is>
      </c>
      <c r="C15" s="4" t="inlineStr">
        <is>
          <t>Jequitinhonha / Mucuri</t>
        </is>
      </c>
      <c r="D15" s="19" t="n">
        <v>86</v>
      </c>
      <c r="E15" s="16" t="n">
        <v>1136803</v>
      </c>
      <c r="F15" s="8" t="n">
        <v>77935.39999999999</v>
      </c>
      <c r="G15" s="8" t="n">
        <v>9363.02</v>
      </c>
      <c r="H15" s="8" t="n">
        <v>2572929.54</v>
      </c>
      <c r="I15" s="10">
        <f>G15/$G$17</f>
        <v/>
      </c>
      <c r="J15" s="8" t="n">
        <v>0</v>
      </c>
      <c r="K15" s="7">
        <f>J15/G15</f>
        <v/>
      </c>
    </row>
    <row r="16">
      <c r="A16" s="19" t="n">
        <v>3104</v>
      </c>
      <c r="B16" s="4" t="inlineStr">
        <is>
          <t>Governador Valadares</t>
        </is>
      </c>
      <c r="C16" s="4" t="inlineStr">
        <is>
          <t>Vale do Rio Doce</t>
        </is>
      </c>
      <c r="D16" s="19" t="n">
        <v>58</v>
      </c>
      <c r="E16" s="16" t="n">
        <v>721031</v>
      </c>
      <c r="F16" s="8" t="n">
        <v>26008.02</v>
      </c>
      <c r="G16" s="8" t="n">
        <v>3976.17</v>
      </c>
      <c r="H16" s="8" t="n">
        <v>1092638.41</v>
      </c>
      <c r="I16" s="10">
        <f>G16/$G$17</f>
        <v/>
      </c>
      <c r="J16" s="8" t="n">
        <v>0</v>
      </c>
      <c r="K16" s="7">
        <f>J16/G16</f>
        <v/>
      </c>
    </row>
    <row r="17">
      <c r="A17" s="20" t="inlineStr">
        <is>
          <t>TOTAL</t>
        </is>
      </c>
      <c r="B17" s="21" t="inlineStr">
        <is>
          <t>Minas Gerais State</t>
        </is>
      </c>
      <c r="C17" s="21" t="inlineStr">
        <is>
          <t>13 Intermediate Regions</t>
        </is>
      </c>
      <c r="D17" s="17">
        <f>SUM(D4:D16)</f>
        <v/>
      </c>
      <c r="E17" s="17">
        <f>SUM(E4:E16)</f>
        <v/>
      </c>
      <c r="F17" s="18">
        <f>SUM(F4:F16)</f>
        <v/>
      </c>
      <c r="G17" s="18">
        <f>SUM(G4:G16)</f>
        <v/>
      </c>
      <c r="H17" s="18">
        <f>SUM(H4:H16)</f>
        <v/>
      </c>
      <c r="I17" s="15">
        <f>SUM(I4:I16)</f>
        <v/>
      </c>
      <c r="J17" s="18">
        <f>SUM(J4:J16)</f>
        <v/>
      </c>
      <c r="K17" s="22">
        <f>J17/G17</f>
        <v/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58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20" customWidth="1" min="2" max="2"/>
    <col width="23" customWidth="1" min="3" max="3"/>
    <col width="20" customWidth="1" min="4" max="4"/>
    <col width="13" customWidth="1" min="5" max="5"/>
    <col width="15" customWidth="1" min="6" max="6"/>
    <col width="15" customWidth="1" min="7" max="7"/>
    <col width="32" customWidth="1" min="8" max="8"/>
    <col width="18" customWidth="1" min="9" max="9"/>
    <col width="18" customWidth="1" min="10" max="10"/>
    <col width="20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1" t="inlineStr">
        <is>
          <t>PILAR-2b MINAS GERAIS — MUNICIPALITY BIOENERGY SUMMARY (853 MUNICIPALITIES)</t>
        </is>
      </c>
    </row>
    <row r="2"/>
    <row r="3">
      <c r="A3" s="3" t="inlineStr">
        <is>
          <t>IBGE Code</t>
        </is>
      </c>
      <c r="B3" s="3" t="inlineStr">
        <is>
          <t>Municipality Name</t>
        </is>
      </c>
      <c r="C3" s="3" t="inlineStr">
        <is>
          <t>RGint Name</t>
        </is>
      </c>
      <c r="D3" s="3" t="inlineStr">
        <is>
          <t>Population (2022)</t>
        </is>
      </c>
      <c r="E3" s="3" t="inlineStr">
        <is>
          <t>Area (km²)</t>
        </is>
      </c>
      <c r="F3" s="3" t="inlineStr">
        <is>
          <t>Latitude</t>
        </is>
      </c>
      <c r="G3" s="3" t="inlineStr">
        <is>
          <t>Longitude</t>
        </is>
      </c>
      <c r="H3" s="3" t="inlineStr">
        <is>
          <t>Total Real Potential (GWh/yr)</t>
        </is>
      </c>
      <c r="I3" s="3" t="inlineStr">
        <is>
          <t>Potential Class</t>
        </is>
      </c>
      <c r="J3" s="3" t="inlineStr">
        <is>
          <t>Dominant Stream</t>
        </is>
      </c>
      <c r="K3" s="3" t="inlineStr">
        <is>
          <t>Number of Streams</t>
        </is>
      </c>
    </row>
    <row r="4">
      <c r="A4" s="6" t="inlineStr">
        <is>
          <t>3170107</t>
        </is>
      </c>
      <c r="B4" s="6" t="inlineStr">
        <is>
          <t>3170107</t>
        </is>
      </c>
      <c r="C4" s="4" t="inlineStr">
        <is>
          <t>Uberaba</t>
        </is>
      </c>
      <c r="D4" s="16" t="n">
        <v>337836</v>
      </c>
      <c r="E4" s="8" t="n">
        <v>4523.957</v>
      </c>
      <c r="F4" s="7" t="n">
        <v>-19.6043231</v>
      </c>
      <c r="G4" s="7" t="n">
        <v>-47.88546367</v>
      </c>
      <c r="H4" s="8" t="n">
        <v>7573.3589</v>
      </c>
      <c r="I4" s="6" t="inlineStr">
        <is>
          <t>CRÍTICO</t>
        </is>
      </c>
      <c r="J4" s="6" t="inlineStr">
        <is>
          <t>sugarcane</t>
        </is>
      </c>
      <c r="K4" s="6" t="n">
        <v>11</v>
      </c>
    </row>
    <row r="5">
      <c r="A5" s="6" t="inlineStr">
        <is>
          <t>3170404</t>
        </is>
      </c>
      <c r="B5" s="6" t="inlineStr">
        <is>
          <t>3170404</t>
        </is>
      </c>
      <c r="C5" s="4" t="inlineStr">
        <is>
          <t>Patos de Minas</t>
        </is>
      </c>
      <c r="D5" s="16" t="n">
        <v>86619</v>
      </c>
      <c r="E5" s="8" t="n">
        <v>8445.432000000001</v>
      </c>
      <c r="F5" s="7" t="n">
        <v>-16.3863487</v>
      </c>
      <c r="G5" s="7" t="n">
        <v>-46.98678413</v>
      </c>
      <c r="H5" s="8" t="n">
        <v>6027.8245</v>
      </c>
      <c r="I5" s="6" t="inlineStr">
        <is>
          <t>CRÍTICO</t>
        </is>
      </c>
      <c r="J5" s="6" t="inlineStr">
        <is>
          <t>soybean</t>
        </is>
      </c>
      <c r="K5" s="6" t="n">
        <v>12</v>
      </c>
    </row>
    <row r="6">
      <c r="A6" s="6" t="inlineStr">
        <is>
          <t>3136306</t>
        </is>
      </c>
      <c r="B6" s="6" t="inlineStr">
        <is>
          <t>3136306</t>
        </is>
      </c>
      <c r="C6" s="4" t="inlineStr">
        <is>
          <t>Patos de Minas</t>
        </is>
      </c>
      <c r="D6" s="16" t="n">
        <v>46801</v>
      </c>
      <c r="E6" s="8" t="n">
        <v>10727.097</v>
      </c>
      <c r="F6" s="7" t="n">
        <v>-17.6452095</v>
      </c>
      <c r="G6" s="7" t="n">
        <v>-45.89313337</v>
      </c>
      <c r="H6" s="8" t="n">
        <v>5972.409</v>
      </c>
      <c r="I6" s="6" t="inlineStr">
        <is>
          <t>CRÍTICO</t>
        </is>
      </c>
      <c r="J6" s="6" t="inlineStr">
        <is>
          <t>swine</t>
        </is>
      </c>
      <c r="K6" s="6" t="n">
        <v>12</v>
      </c>
    </row>
    <row r="7">
      <c r="A7" s="6" t="inlineStr">
        <is>
          <t>3147006</t>
        </is>
      </c>
      <c r="B7" s="6" t="inlineStr">
        <is>
          <t>3147006</t>
        </is>
      </c>
      <c r="C7" s="4" t="inlineStr">
        <is>
          <t>Patos de Minas</t>
        </is>
      </c>
      <c r="D7" s="16" t="n">
        <v>94023</v>
      </c>
      <c r="E7" s="8" t="n">
        <v>8231.029</v>
      </c>
      <c r="F7" s="7" t="n">
        <v>-17.1087465</v>
      </c>
      <c r="G7" s="7" t="n">
        <v>-46.77444089</v>
      </c>
      <c r="H7" s="8" t="n">
        <v>5623.0395</v>
      </c>
      <c r="I7" s="6" t="inlineStr">
        <is>
          <t>CRÍTICO</t>
        </is>
      </c>
      <c r="J7" s="6" t="inlineStr">
        <is>
          <t>swine</t>
        </is>
      </c>
      <c r="K7" s="6" t="n">
        <v>12</v>
      </c>
    </row>
    <row r="8">
      <c r="A8" s="6" t="inlineStr">
        <is>
          <t>3127107</t>
        </is>
      </c>
      <c r="B8" s="6" t="inlineStr">
        <is>
          <t>3127107</t>
        </is>
      </c>
      <c r="C8" s="4" t="inlineStr">
        <is>
          <t>Uberaba</t>
        </is>
      </c>
      <c r="D8" s="16" t="n">
        <v>58588</v>
      </c>
      <c r="E8" s="8" t="n">
        <v>2426.965</v>
      </c>
      <c r="F8" s="7" t="n">
        <v>-20.109095</v>
      </c>
      <c r="G8" s="7" t="n">
        <v>-49.02228403</v>
      </c>
      <c r="H8" s="8" t="n">
        <v>3495.6294</v>
      </c>
      <c r="I8" s="6" t="inlineStr">
        <is>
          <t>CRÍTICO</t>
        </is>
      </c>
      <c r="J8" s="6" t="inlineStr">
        <is>
          <t>sugarcane</t>
        </is>
      </c>
      <c r="K8" s="6" t="n">
        <v>10</v>
      </c>
    </row>
    <row r="9">
      <c r="A9" s="6" t="inlineStr">
        <is>
          <t>3170206</t>
        </is>
      </c>
      <c r="B9" s="6" t="inlineStr">
        <is>
          <t>3170206</t>
        </is>
      </c>
      <c r="C9" s="4" t="inlineStr">
        <is>
          <t>Uberlândia</t>
        </is>
      </c>
      <c r="D9" s="16" t="n">
        <v>713224</v>
      </c>
      <c r="E9" s="8" t="n">
        <v>4115.206</v>
      </c>
      <c r="F9" s="7" t="n">
        <v>-19.0047845</v>
      </c>
      <c r="G9" s="7" t="n">
        <v>-48.3163032</v>
      </c>
      <c r="H9" s="8" t="n">
        <v>3288.5541</v>
      </c>
      <c r="I9" s="6" t="inlineStr">
        <is>
          <t>CRÍTICO</t>
        </is>
      </c>
      <c r="J9" s="6" t="inlineStr">
        <is>
          <t>swine</t>
        </is>
      </c>
      <c r="K9" s="6" t="n">
        <v>11</v>
      </c>
    </row>
    <row r="10">
      <c r="A10" s="6" t="inlineStr">
        <is>
          <t>3149804</t>
        </is>
      </c>
      <c r="B10" s="6" t="inlineStr">
        <is>
          <t>3149804</t>
        </is>
      </c>
      <c r="C10" s="4" t="inlineStr">
        <is>
          <t>Uberaba</t>
        </is>
      </c>
      <c r="D10" s="16" t="n">
        <v>17151</v>
      </c>
      <c r="E10" s="8" t="n">
        <v>2451.112</v>
      </c>
      <c r="F10" s="7" t="n">
        <v>-19.428689</v>
      </c>
      <c r="G10" s="7" t="n">
        <v>-47.10423539</v>
      </c>
      <c r="H10" s="8" t="n">
        <v>2941.9324</v>
      </c>
      <c r="I10" s="6" t="inlineStr">
        <is>
          <t>CRÍTICO</t>
        </is>
      </c>
      <c r="J10" s="6" t="inlineStr">
        <is>
          <t>sugarcane</t>
        </is>
      </c>
      <c r="K10" s="6" t="n">
        <v>11</v>
      </c>
    </row>
    <row r="11">
      <c r="A11" s="6" t="inlineStr">
        <is>
          <t>3109303</t>
        </is>
      </c>
      <c r="B11" s="6" t="inlineStr">
        <is>
          <t>3109303</t>
        </is>
      </c>
      <c r="C11" s="4" t="inlineStr">
        <is>
          <t>Patos de Minas</t>
        </is>
      </c>
      <c r="D11" s="16" t="n">
        <v>24030</v>
      </c>
      <c r="E11" s="8" t="n">
        <v>5225.186</v>
      </c>
      <c r="F11" s="7" t="n">
        <v>-15.43986285</v>
      </c>
      <c r="G11" s="7" t="n">
        <v>-46.61184709</v>
      </c>
      <c r="H11" s="8" t="n">
        <v>2917.964</v>
      </c>
      <c r="I11" s="6" t="inlineStr">
        <is>
          <t>CRÍTICO</t>
        </is>
      </c>
      <c r="J11" s="6" t="inlineStr">
        <is>
          <t>swine</t>
        </is>
      </c>
      <c r="K11" s="6" t="n">
        <v>12</v>
      </c>
    </row>
    <row r="12">
      <c r="A12" s="6" t="inlineStr">
        <is>
          <t>3117306</t>
        </is>
      </c>
      <c r="B12" s="6" t="inlineStr">
        <is>
          <t>3117306</t>
        </is>
      </c>
      <c r="C12" s="4" t="inlineStr">
        <is>
          <t>Uberaba</t>
        </is>
      </c>
      <c r="D12" s="16" t="n">
        <v>28381</v>
      </c>
      <c r="E12" s="8" t="n">
        <v>1340.25</v>
      </c>
      <c r="F12" s="7" t="n">
        <v>-19.9416375</v>
      </c>
      <c r="G12" s="7" t="n">
        <v>-48.35845924</v>
      </c>
      <c r="H12" s="8" t="n">
        <v>2799.5491</v>
      </c>
      <c r="I12" s="6" t="inlineStr">
        <is>
          <t>CRÍTICO</t>
        </is>
      </c>
      <c r="J12" s="6" t="inlineStr">
        <is>
          <t>sugarcane</t>
        </is>
      </c>
      <c r="K12" s="6" t="n">
        <v>11</v>
      </c>
    </row>
    <row r="13">
      <c r="A13" s="6" t="inlineStr">
        <is>
          <t>3134202</t>
        </is>
      </c>
      <c r="B13" s="6" t="inlineStr">
        <is>
          <t>3134202</t>
        </is>
      </c>
      <c r="C13" s="4" t="inlineStr">
        <is>
          <t>Uberlândia</t>
        </is>
      </c>
      <c r="D13" s="16" t="n">
        <v>102217</v>
      </c>
      <c r="E13" s="8" t="n">
        <v>2598.046</v>
      </c>
      <c r="F13" s="7" t="n">
        <v>-18.9854135</v>
      </c>
      <c r="G13" s="7" t="n">
        <v>-49.48510285</v>
      </c>
      <c r="H13" s="8" t="n">
        <v>2627.3974</v>
      </c>
      <c r="I13" s="6" t="inlineStr">
        <is>
          <t>CRÍTICO</t>
        </is>
      </c>
      <c r="J13" s="6" t="inlineStr">
        <is>
          <t>sugarcane</t>
        </is>
      </c>
      <c r="K13" s="6" t="n">
        <v>11</v>
      </c>
    </row>
    <row r="14">
      <c r="A14" s="6" t="inlineStr">
        <is>
          <t>3152808</t>
        </is>
      </c>
      <c r="B14" s="6" t="inlineStr">
        <is>
          <t>3152808</t>
        </is>
      </c>
      <c r="C14" s="4" t="inlineStr">
        <is>
          <t>Uberlândia</t>
        </is>
      </c>
      <c r="D14" s="16" t="n">
        <v>28342</v>
      </c>
      <c r="E14" s="8" t="n">
        <v>4847.544</v>
      </c>
      <c r="F14" s="7" t="n">
        <v>-19.275347</v>
      </c>
      <c r="G14" s="7" t="n">
        <v>-48.96054736</v>
      </c>
      <c r="H14" s="8" t="n">
        <v>2561.4283</v>
      </c>
      <c r="I14" s="6" t="inlineStr">
        <is>
          <t>CRÍTICO</t>
        </is>
      </c>
      <c r="J14" s="6" t="inlineStr">
        <is>
          <t>swine</t>
        </is>
      </c>
      <c r="K14" s="6" t="n">
        <v>11</v>
      </c>
    </row>
    <row r="15">
      <c r="A15" s="6" t="inlineStr">
        <is>
          <t>3152006</t>
        </is>
      </c>
      <c r="B15" s="6" t="inlineStr">
        <is>
          <t>3152006</t>
        </is>
      </c>
      <c r="C15" s="4" t="inlineStr">
        <is>
          <t>Divinópolis</t>
        </is>
      </c>
      <c r="D15" s="16" t="n">
        <v>31047</v>
      </c>
      <c r="E15" s="8" t="n">
        <v>2551.074</v>
      </c>
      <c r="F15" s="7" t="n">
        <v>-19.147121</v>
      </c>
      <c r="G15" s="7" t="n">
        <v>-44.8885961</v>
      </c>
      <c r="H15" s="8" t="n">
        <v>2304.6186</v>
      </c>
      <c r="I15" s="6" t="inlineStr">
        <is>
          <t>CRÍTICO</t>
        </is>
      </c>
      <c r="J15" s="6" t="inlineStr">
        <is>
          <t>swine</t>
        </is>
      </c>
      <c r="K15" s="6" t="n">
        <v>9</v>
      </c>
    </row>
    <row r="16">
      <c r="A16" s="6" t="inlineStr">
        <is>
          <t>3111408</t>
        </is>
      </c>
      <c r="B16" s="6" t="inlineStr">
        <is>
          <t>3111408</t>
        </is>
      </c>
      <c r="C16" s="4" t="inlineStr">
        <is>
          <t>Uberaba</t>
        </is>
      </c>
      <c r="D16" s="16" t="n">
        <v>8466</v>
      </c>
      <c r="E16" s="8" t="n">
        <v>1264.245</v>
      </c>
      <c r="F16" s="7" t="n">
        <v>-19.714363</v>
      </c>
      <c r="G16" s="7" t="n">
        <v>-48.65154848</v>
      </c>
      <c r="H16" s="8" t="n">
        <v>2299.9424</v>
      </c>
      <c r="I16" s="6" t="inlineStr">
        <is>
          <t>CRÍTICO</t>
        </is>
      </c>
      <c r="J16" s="6" t="inlineStr">
        <is>
          <t>sugarcane</t>
        </is>
      </c>
      <c r="K16" s="6" t="n">
        <v>10</v>
      </c>
    </row>
    <row r="17">
      <c r="A17" s="6" t="inlineStr">
        <is>
          <t>3119302</t>
        </is>
      </c>
      <c r="B17" s="6" t="inlineStr">
        <is>
          <t>3119302</t>
        </is>
      </c>
      <c r="C17" s="4" t="inlineStr">
        <is>
          <t>Patos de Minas</t>
        </is>
      </c>
      <c r="D17" s="16" t="n">
        <v>28894</v>
      </c>
      <c r="E17" s="8" t="n">
        <v>3313.313</v>
      </c>
      <c r="F17" s="7" t="n">
        <v>-18.34320549</v>
      </c>
      <c r="G17" s="7" t="n">
        <v>-47.16408611</v>
      </c>
      <c r="H17" s="8" t="n">
        <v>2121.042</v>
      </c>
      <c r="I17" s="6" t="inlineStr">
        <is>
          <t>CRÍTICO</t>
        </is>
      </c>
      <c r="J17" s="6" t="inlineStr">
        <is>
          <t>soybean</t>
        </is>
      </c>
      <c r="K17" s="6" t="n">
        <v>12</v>
      </c>
    </row>
    <row r="18">
      <c r="A18" s="6" t="inlineStr">
        <is>
          <t>3159803</t>
        </is>
      </c>
      <c r="B18" s="6" t="inlineStr">
        <is>
          <t>3159803</t>
        </is>
      </c>
      <c r="C18" s="4" t="inlineStr">
        <is>
          <t>Uberlândia</t>
        </is>
      </c>
      <c r="D18" s="16" t="n">
        <v>20973</v>
      </c>
      <c r="E18" s="8" t="n">
        <v>2998.364</v>
      </c>
      <c r="F18" s="7" t="n">
        <v>-18.9781055</v>
      </c>
      <c r="G18" s="7" t="n">
        <v>-50.23614052</v>
      </c>
      <c r="H18" s="8" t="n">
        <v>2077.4862</v>
      </c>
      <c r="I18" s="6" t="inlineStr">
        <is>
          <t>CRÍTICO</t>
        </is>
      </c>
      <c r="J18" s="6" t="inlineStr">
        <is>
          <t>sugarcane</t>
        </is>
      </c>
      <c r="K18" s="6" t="n">
        <v>8</v>
      </c>
    </row>
    <row r="19">
      <c r="A19" s="6" t="inlineStr">
        <is>
          <t>3103504</t>
        </is>
      </c>
      <c r="B19" s="6" t="inlineStr">
        <is>
          <t>3103504</t>
        </is>
      </c>
      <c r="C19" s="4" t="inlineStr">
        <is>
          <t>Uberlândia</t>
        </is>
      </c>
      <c r="D19" s="16" t="n">
        <v>117808</v>
      </c>
      <c r="E19" s="8" t="n">
        <v>2729.777</v>
      </c>
      <c r="F19" s="7" t="n">
        <v>-18.607283</v>
      </c>
      <c r="G19" s="7" t="n">
        <v>-48.23081408</v>
      </c>
      <c r="H19" s="8" t="n">
        <v>2031.4456</v>
      </c>
      <c r="I19" s="6" t="inlineStr">
        <is>
          <t>CRÍTICO</t>
        </is>
      </c>
      <c r="J19" s="6" t="inlineStr">
        <is>
          <t>swine</t>
        </is>
      </c>
      <c r="K19" s="6" t="n">
        <v>11</v>
      </c>
    </row>
    <row r="20">
      <c r="A20" s="6" t="inlineStr">
        <is>
          <t>3156908</t>
        </is>
      </c>
      <c r="B20" s="6" t="inlineStr">
        <is>
          <t>3156908</t>
        </is>
      </c>
      <c r="C20" s="4" t="inlineStr">
        <is>
          <t>Uberaba</t>
        </is>
      </c>
      <c r="D20" s="16" t="n">
        <v>26670</v>
      </c>
      <c r="E20" s="8" t="n">
        <v>3073.268</v>
      </c>
      <c r="F20" s="7" t="n">
        <v>-19.8561415</v>
      </c>
      <c r="G20" s="7" t="n">
        <v>-47.36279277</v>
      </c>
      <c r="H20" s="8" t="n">
        <v>2002.2684</v>
      </c>
      <c r="I20" s="6" t="inlineStr">
        <is>
          <t>CRÍTICO</t>
        </is>
      </c>
      <c r="J20" s="6" t="inlineStr">
        <is>
          <t>sugarcane</t>
        </is>
      </c>
      <c r="K20" s="6" t="n">
        <v>11</v>
      </c>
    </row>
    <row r="21">
      <c r="A21" s="6" t="inlineStr">
        <is>
          <t>3169604</t>
        </is>
      </c>
      <c r="B21" s="6" t="inlineStr">
        <is>
          <t>3169604</t>
        </is>
      </c>
      <c r="C21" s="4" t="inlineStr">
        <is>
          <t>Uberlândia</t>
        </is>
      </c>
      <c r="D21" s="16" t="n">
        <v>25470</v>
      </c>
      <c r="E21" s="8" t="n">
        <v>1822.53</v>
      </c>
      <c r="F21" s="7" t="n">
        <v>-18.572562</v>
      </c>
      <c r="G21" s="7" t="n">
        <v>-48.72612953</v>
      </c>
      <c r="H21" s="8" t="n">
        <v>1834.7183</v>
      </c>
      <c r="I21" s="6" t="inlineStr">
        <is>
          <t>MUITO ALTO</t>
        </is>
      </c>
      <c r="J21" s="6" t="inlineStr">
        <is>
          <t>sugarcane</t>
        </is>
      </c>
      <c r="K21" s="6" t="n">
        <v>9</v>
      </c>
    </row>
    <row r="22">
      <c r="A22" s="6" t="inlineStr">
        <is>
          <t>3124807</t>
        </is>
      </c>
      <c r="B22" s="6" t="inlineStr">
        <is>
          <t>3124807</t>
        </is>
      </c>
      <c r="C22" s="4" t="inlineStr">
        <is>
          <t>Uberlândia</t>
        </is>
      </c>
      <c r="D22" s="16" t="n">
        <v>6840</v>
      </c>
      <c r="E22" s="8" t="n">
        <v>822.454</v>
      </c>
      <c r="F22" s="7" t="n">
        <v>-18.736006</v>
      </c>
      <c r="G22" s="7" t="n">
        <v>-47.74189142</v>
      </c>
      <c r="H22" s="8" t="n">
        <v>1833.6652</v>
      </c>
      <c r="I22" s="6" t="inlineStr">
        <is>
          <t>MUITO ALTO</t>
        </is>
      </c>
      <c r="J22" s="6" t="inlineStr">
        <is>
          <t>forestry</t>
        </is>
      </c>
      <c r="K22" s="6" t="n">
        <v>10</v>
      </c>
    </row>
    <row r="23">
      <c r="A23" s="6" t="inlineStr">
        <is>
          <t>3148103</t>
        </is>
      </c>
      <c r="B23" s="6" t="inlineStr">
        <is>
          <t>3148103</t>
        </is>
      </c>
      <c r="C23" s="4" t="inlineStr">
        <is>
          <t>Patos de Minas</t>
        </is>
      </c>
      <c r="D23" s="16" t="n">
        <v>89826</v>
      </c>
      <c r="E23" s="8" t="n">
        <v>2874.344</v>
      </c>
      <c r="F23" s="7" t="n">
        <v>-18.985303</v>
      </c>
      <c r="G23" s="7" t="n">
        <v>-47.05053741</v>
      </c>
      <c r="H23" s="8" t="n">
        <v>1786.704</v>
      </c>
      <c r="I23" s="6" t="inlineStr">
        <is>
          <t>MUITO ALTO</t>
        </is>
      </c>
      <c r="J23" s="6" t="inlineStr">
        <is>
          <t>swine</t>
        </is>
      </c>
      <c r="K23" s="6" t="n">
        <v>12</v>
      </c>
    </row>
    <row r="24">
      <c r="A24" s="6" t="inlineStr">
        <is>
          <t>3104502</t>
        </is>
      </c>
      <c r="B24" s="6" t="inlineStr">
        <is>
          <t>3104502</t>
        </is>
      </c>
      <c r="C24" s="4" t="inlineStr">
        <is>
          <t>Patos de Minas</t>
        </is>
      </c>
      <c r="D24" s="16" t="n">
        <v>17272</v>
      </c>
      <c r="E24" s="8" t="n">
        <v>5279.419</v>
      </c>
      <c r="F24" s="7" t="n">
        <v>-15.804206</v>
      </c>
      <c r="G24" s="7" t="n">
        <v>-45.97614634</v>
      </c>
      <c r="H24" s="8" t="n">
        <v>1769.8712</v>
      </c>
      <c r="I24" s="6" t="inlineStr">
        <is>
          <t>MUITO ALTO</t>
        </is>
      </c>
      <c r="J24" s="6" t="inlineStr">
        <is>
          <t>swine</t>
        </is>
      </c>
      <c r="K24" s="6" t="n">
        <v>10</v>
      </c>
    </row>
    <row r="25">
      <c r="A25" s="6" t="inlineStr">
        <is>
          <t>3126208</t>
        </is>
      </c>
      <c r="B25" s="6" t="inlineStr">
        <is>
          <t>3126208</t>
        </is>
      </c>
      <c r="C25" s="4" t="inlineStr">
        <is>
          <t>Patos de Minas</t>
        </is>
      </c>
      <c r="D25" s="16" t="n">
        <v>7949</v>
      </c>
      <c r="E25" s="8" t="n">
        <v>3686.004</v>
      </c>
      <c r="F25" s="7" t="n">
        <v>-15.072364</v>
      </c>
      <c r="G25" s="7" t="n">
        <v>-46.23337517</v>
      </c>
      <c r="H25" s="8" t="n">
        <v>1730.6435</v>
      </c>
      <c r="I25" s="6" t="inlineStr">
        <is>
          <t>MUITO ALTO</t>
        </is>
      </c>
      <c r="J25" s="6" t="inlineStr">
        <is>
          <t>swine</t>
        </is>
      </c>
      <c r="K25" s="6" t="n">
        <v>12</v>
      </c>
    </row>
    <row r="26">
      <c r="A26" s="6" t="inlineStr">
        <is>
          <t>3145000</t>
        </is>
      </c>
      <c r="B26" s="6" t="inlineStr">
        <is>
          <t>3145000</t>
        </is>
      </c>
      <c r="C26" s="4" t="inlineStr">
        <is>
          <t>Uberaba</t>
        </is>
      </c>
      <c r="D26" s="16" t="n">
        <v>14598</v>
      </c>
      <c r="E26" s="8" t="n">
        <v>1111.011</v>
      </c>
      <c r="F26" s="7" t="n">
        <v>-19.2475365</v>
      </c>
      <c r="G26" s="7" t="n">
        <v>-47.72157195</v>
      </c>
      <c r="H26" s="8" t="n">
        <v>1674.6938</v>
      </c>
      <c r="I26" s="6" t="inlineStr">
        <is>
          <t>MUITO ALTO</t>
        </is>
      </c>
      <c r="J26" s="6" t="inlineStr">
        <is>
          <t>sugarcane</t>
        </is>
      </c>
      <c r="K26" s="6" t="n">
        <v>10</v>
      </c>
    </row>
    <row r="27">
      <c r="A27" s="6" t="inlineStr">
        <is>
          <t>3128600</t>
        </is>
      </c>
      <c r="B27" s="6" t="inlineStr">
        <is>
          <t>3128600</t>
        </is>
      </c>
      <c r="C27" s="4" t="inlineStr">
        <is>
          <t>Patos de Minas</t>
        </is>
      </c>
      <c r="D27" s="16" t="n">
        <v>6539</v>
      </c>
      <c r="E27" s="8" t="n">
        <v>2068.808</v>
      </c>
      <c r="F27" s="7" t="n">
        <v>-17.75325185</v>
      </c>
      <c r="G27" s="7" t="n">
        <v>-47.1349057</v>
      </c>
      <c r="H27" s="8" t="n">
        <v>1649.7346</v>
      </c>
      <c r="I27" s="6" t="inlineStr">
        <is>
          <t>MUITO ALTO</t>
        </is>
      </c>
      <c r="J27" s="6" t="inlineStr">
        <is>
          <t>soybean</t>
        </is>
      </c>
      <c r="K27" s="6" t="n">
        <v>11</v>
      </c>
    </row>
    <row r="28">
      <c r="A28" s="6" t="inlineStr">
        <is>
          <t>3153400</t>
        </is>
      </c>
      <c r="B28" s="6" t="inlineStr">
        <is>
          <t>3153400</t>
        </is>
      </c>
      <c r="C28" s="4" t="inlineStr">
        <is>
          <t>Patos de Minas</t>
        </is>
      </c>
      <c r="D28" s="16" t="n">
        <v>18765</v>
      </c>
      <c r="E28" s="8" t="n">
        <v>3503.848</v>
      </c>
      <c r="F28" s="7" t="n">
        <v>-18.1619615</v>
      </c>
      <c r="G28" s="7" t="n">
        <v>-46.29550049</v>
      </c>
      <c r="H28" s="8" t="n">
        <v>1630.36</v>
      </c>
      <c r="I28" s="6" t="inlineStr">
        <is>
          <t>MUITO ALTO</t>
        </is>
      </c>
      <c r="J28" s="6" t="inlineStr">
        <is>
          <t>swine</t>
        </is>
      </c>
      <c r="K28" s="6" t="n">
        <v>12</v>
      </c>
    </row>
    <row r="29">
      <c r="A29" s="6" t="inlineStr">
        <is>
          <t>3148004</t>
        </is>
      </c>
      <c r="B29" s="6" t="inlineStr">
        <is>
          <t>3148004</t>
        </is>
      </c>
      <c r="C29" s="4" t="inlineStr">
        <is>
          <t>Patos de Minas</t>
        </is>
      </c>
      <c r="D29" s="16" t="n">
        <v>159235</v>
      </c>
      <c r="E29" s="8" t="n">
        <v>3190.456</v>
      </c>
      <c r="F29" s="7" t="n">
        <v>-18.6351575</v>
      </c>
      <c r="G29" s="7" t="n">
        <v>-46.10554704</v>
      </c>
      <c r="H29" s="8" t="n">
        <v>1622.0001</v>
      </c>
      <c r="I29" s="6" t="inlineStr">
        <is>
          <t>MUITO ALTO</t>
        </is>
      </c>
      <c r="J29" s="6" t="inlineStr">
        <is>
          <t>swine</t>
        </is>
      </c>
      <c r="K29" s="6" t="n">
        <v>12</v>
      </c>
    </row>
    <row r="30">
      <c r="A30" s="6" t="inlineStr">
        <is>
          <t>3138625</t>
        </is>
      </c>
      <c r="B30" s="6" t="inlineStr">
        <is>
          <t>3138625</t>
        </is>
      </c>
      <c r="C30" s="4" t="inlineStr">
        <is>
          <t>Uberaba</t>
        </is>
      </c>
      <c r="D30" s="16" t="n">
        <v>8687</v>
      </c>
      <c r="E30" s="8" t="n">
        <v>1317.153</v>
      </c>
      <c r="F30" s="7" t="n">
        <v>-19.41977435</v>
      </c>
      <c r="G30" s="7" t="n">
        <v>-50.69212543</v>
      </c>
      <c r="H30" s="8" t="n">
        <v>1532.9838</v>
      </c>
      <c r="I30" s="6" t="inlineStr">
        <is>
          <t>MUITO ALTO</t>
        </is>
      </c>
      <c r="J30" s="6" t="inlineStr">
        <is>
          <t>sugarcane</t>
        </is>
      </c>
      <c r="K30" s="6" t="n">
        <v>9</v>
      </c>
    </row>
    <row r="31">
      <c r="A31" s="6" t="inlineStr">
        <is>
          <t>3134400</t>
        </is>
      </c>
      <c r="B31" s="6" t="inlineStr">
        <is>
          <t>3134400</t>
        </is>
      </c>
      <c r="C31" s="4" t="inlineStr">
        <is>
          <t>Uberaba</t>
        </is>
      </c>
      <c r="D31" s="16" t="n">
        <v>38295</v>
      </c>
      <c r="E31" s="8" t="n">
        <v>1404.663</v>
      </c>
      <c r="F31" s="7" t="n">
        <v>-19.713705</v>
      </c>
      <c r="G31" s="7" t="n">
        <v>-50.37215124</v>
      </c>
      <c r="H31" s="8" t="n">
        <v>1527.8409</v>
      </c>
      <c r="I31" s="6" t="inlineStr">
        <is>
          <t>MUITO ALTO</t>
        </is>
      </c>
      <c r="J31" s="6" t="inlineStr">
        <is>
          <t>sugarcane</t>
        </is>
      </c>
      <c r="K31" s="6" t="n">
        <v>9</v>
      </c>
    </row>
    <row r="32">
      <c r="A32" s="6" t="inlineStr">
        <is>
          <t>3142809</t>
        </is>
      </c>
      <c r="B32" s="6" t="inlineStr">
        <is>
          <t>3142809</t>
        </is>
      </c>
      <c r="C32" s="4" t="inlineStr">
        <is>
          <t>Uberlândia</t>
        </is>
      </c>
      <c r="D32" s="16" t="n">
        <v>20170</v>
      </c>
      <c r="E32" s="8" t="n">
        <v>2595.957</v>
      </c>
      <c r="F32" s="7" t="n">
        <v>-18.8137015</v>
      </c>
      <c r="G32" s="7" t="n">
        <v>-48.8408399</v>
      </c>
      <c r="H32" s="8" t="n">
        <v>1521.8728</v>
      </c>
      <c r="I32" s="6" t="inlineStr">
        <is>
          <t>MUITO ALTO</t>
        </is>
      </c>
      <c r="J32" s="6" t="inlineStr">
        <is>
          <t>swine</t>
        </is>
      </c>
      <c r="K32" s="6" t="n">
        <v>11</v>
      </c>
    </row>
    <row r="33">
      <c r="A33" s="6" t="inlineStr">
        <is>
          <t>3105103</t>
        </is>
      </c>
      <c r="B33" s="6" t="inlineStr">
        <is>
          <t>3105103</t>
        </is>
      </c>
      <c r="C33" s="4" t="inlineStr">
        <is>
          <t>Divinópolis</t>
        </is>
      </c>
      <c r="D33" s="16" t="n">
        <v>23546</v>
      </c>
      <c r="E33" s="8" t="n">
        <v>1455.819</v>
      </c>
      <c r="F33" s="7" t="n">
        <v>-20.1237985</v>
      </c>
      <c r="G33" s="7" t="n">
        <v>-46.02321242</v>
      </c>
      <c r="H33" s="8" t="n">
        <v>1451.5307</v>
      </c>
      <c r="I33" s="6" t="inlineStr">
        <is>
          <t>MUITO ALTO</t>
        </is>
      </c>
      <c r="J33" s="6" t="inlineStr">
        <is>
          <t>swine</t>
        </is>
      </c>
      <c r="K33" s="6" t="n">
        <v>11</v>
      </c>
    </row>
    <row r="34">
      <c r="A34" s="6" t="inlineStr">
        <is>
          <t>3143500</t>
        </is>
      </c>
      <c r="B34" s="6" t="inlineStr">
        <is>
          <t>3143500</t>
        </is>
      </c>
      <c r="C34" s="4" t="inlineStr">
        <is>
          <t>Divinópolis</t>
        </is>
      </c>
      <c r="D34" s="16" t="n">
        <v>9067</v>
      </c>
      <c r="E34" s="8" t="n">
        <v>2084.275</v>
      </c>
      <c r="F34" s="7" t="n">
        <v>-18.56302</v>
      </c>
      <c r="G34" s="7" t="n">
        <v>-45.42824454</v>
      </c>
      <c r="H34" s="8" t="n">
        <v>1438.8703</v>
      </c>
      <c r="I34" s="6" t="inlineStr">
        <is>
          <t>MUITO ALTO</t>
        </is>
      </c>
      <c r="J34" s="6" t="inlineStr">
        <is>
          <t>swine</t>
        </is>
      </c>
      <c r="K34" s="6" t="n">
        <v>9</v>
      </c>
    </row>
    <row r="35">
      <c r="A35" s="6" t="inlineStr">
        <is>
          <t>3111804</t>
        </is>
      </c>
      <c r="B35" s="6" t="inlineStr">
        <is>
          <t>3111804</t>
        </is>
      </c>
      <c r="C35" s="4" t="inlineStr">
        <is>
          <t>Uberlândia</t>
        </is>
      </c>
      <c r="D35" s="16" t="n">
        <v>10608</v>
      </c>
      <c r="E35" s="8" t="n">
        <v>843.599</v>
      </c>
      <c r="F35" s="7" t="n">
        <v>-18.757452</v>
      </c>
      <c r="G35" s="7" t="n">
        <v>-49.2448415</v>
      </c>
      <c r="H35" s="8" t="n">
        <v>1410.4733</v>
      </c>
      <c r="I35" s="6" t="inlineStr">
        <is>
          <t>MUITO ALTO</t>
        </is>
      </c>
      <c r="J35" s="6" t="inlineStr">
        <is>
          <t>sugarcane</t>
        </is>
      </c>
      <c r="K35" s="6" t="n">
        <v>10</v>
      </c>
    </row>
    <row r="36">
      <c r="A36" s="6" t="inlineStr">
        <is>
          <t>3129509</t>
        </is>
      </c>
      <c r="B36" s="6" t="inlineStr">
        <is>
          <t>3129509</t>
        </is>
      </c>
      <c r="C36" s="4" t="inlineStr">
        <is>
          <t>Uberaba</t>
        </is>
      </c>
      <c r="D36" s="16" t="n">
        <v>22229</v>
      </c>
      <c r="E36" s="8" t="n">
        <v>2704.132</v>
      </c>
      <c r="F36" s="7" t="n">
        <v>-19.6061075</v>
      </c>
      <c r="G36" s="7" t="n">
        <v>-46.52649168</v>
      </c>
      <c r="H36" s="8" t="n">
        <v>1353.5247</v>
      </c>
      <c r="I36" s="6" t="inlineStr">
        <is>
          <t>MUITO ALTO</t>
        </is>
      </c>
      <c r="J36" s="6" t="inlineStr">
        <is>
          <t>soybean</t>
        </is>
      </c>
      <c r="K36" s="6" t="n">
        <v>10</v>
      </c>
    </row>
    <row r="37">
      <c r="A37" s="6" t="inlineStr">
        <is>
          <t>3138807</t>
        </is>
      </c>
      <c r="B37" s="6" t="inlineStr">
        <is>
          <t>3138807</t>
        </is>
      </c>
      <c r="C37" s="4" t="inlineStr">
        <is>
          <t>Divinópolis</t>
        </is>
      </c>
      <c r="D37" s="16" t="n">
        <v>17875</v>
      </c>
      <c r="E37" s="8" t="n">
        <v>1171.659</v>
      </c>
      <c r="F37" s="7" t="n">
        <v>-19.863979</v>
      </c>
      <c r="G37" s="7" t="n">
        <v>-45.68102641</v>
      </c>
      <c r="H37" s="8" t="n">
        <v>1335.8143</v>
      </c>
      <c r="I37" s="6" t="inlineStr">
        <is>
          <t>MUITO ALTO</t>
        </is>
      </c>
      <c r="J37" s="6" t="inlineStr">
        <is>
          <t>sugarcane</t>
        </is>
      </c>
      <c r="K37" s="6" t="n">
        <v>11</v>
      </c>
    </row>
    <row r="38">
      <c r="A38" s="6" t="inlineStr">
        <is>
          <t>3109402</t>
        </is>
      </c>
      <c r="B38" s="6" t="inlineStr">
        <is>
          <t>3109402</t>
        </is>
      </c>
      <c r="C38" s="4" t="inlineStr">
        <is>
          <t>Montes Claros</t>
        </is>
      </c>
      <c r="D38" s="16" t="n">
        <v>23910</v>
      </c>
      <c r="E38" s="8" t="n">
        <v>7218.401</v>
      </c>
      <c r="F38" s="7" t="n">
        <v>-17.2801025</v>
      </c>
      <c r="G38" s="7" t="n">
        <v>-45.2195429</v>
      </c>
      <c r="H38" s="8" t="n">
        <v>1296.981</v>
      </c>
      <c r="I38" s="6" t="inlineStr">
        <is>
          <t>MUITO ALTO</t>
        </is>
      </c>
      <c r="J38" s="6" t="inlineStr">
        <is>
          <t>swine</t>
        </is>
      </c>
      <c r="K38" s="6" t="n">
        <v>11</v>
      </c>
    </row>
    <row r="39">
      <c r="A39" s="6" t="inlineStr">
        <is>
          <t>3111101</t>
        </is>
      </c>
      <c r="B39" s="6" t="inlineStr">
        <is>
          <t>3111101</t>
        </is>
      </c>
      <c r="C39" s="4" t="inlineStr">
        <is>
          <t>Uberlândia</t>
        </is>
      </c>
      <c r="D39" s="16" t="n">
        <v>18011</v>
      </c>
      <c r="E39" s="8" t="n">
        <v>3650.749</v>
      </c>
      <c r="F39" s="7" t="n">
        <v>-19.4847135</v>
      </c>
      <c r="G39" s="7" t="n">
        <v>-49.7686528</v>
      </c>
      <c r="H39" s="8" t="n">
        <v>1278.3782</v>
      </c>
      <c r="I39" s="6" t="inlineStr">
        <is>
          <t>MUITO ALTO</t>
        </is>
      </c>
      <c r="J39" s="6" t="inlineStr">
        <is>
          <t>swine</t>
        </is>
      </c>
      <c r="K39" s="6" t="n">
        <v>10</v>
      </c>
    </row>
    <row r="40">
      <c r="A40" s="6" t="inlineStr">
        <is>
          <t>3100708</t>
        </is>
      </c>
      <c r="B40" s="6" t="inlineStr">
        <is>
          <t>3100708</t>
        </is>
      </c>
      <c r="C40" s="4" t="inlineStr">
        <is>
          <t>Uberaba</t>
        </is>
      </c>
      <c r="D40" s="16" t="n">
        <v>2108</v>
      </c>
      <c r="E40" s="8" t="n">
        <v>492.167</v>
      </c>
      <c r="F40" s="7" t="n">
        <v>-19.995994</v>
      </c>
      <c r="G40" s="7" t="n">
        <v>-48.0624401</v>
      </c>
      <c r="H40" s="8" t="n">
        <v>1256.2652</v>
      </c>
      <c r="I40" s="6" t="inlineStr">
        <is>
          <t>MUITO ALTO</t>
        </is>
      </c>
      <c r="J40" s="6" t="inlineStr">
        <is>
          <t>sugarcane</t>
        </is>
      </c>
      <c r="K40" s="6" t="n">
        <v>9</v>
      </c>
    </row>
    <row r="41">
      <c r="A41" s="6" t="inlineStr">
        <is>
          <t>3108206</t>
        </is>
      </c>
      <c r="B41" s="6" t="inlineStr">
        <is>
          <t>3108206</t>
        </is>
      </c>
      <c r="C41" s="4" t="inlineStr">
        <is>
          <t>Patos de Minas</t>
        </is>
      </c>
      <c r="D41" s="16" t="n">
        <v>5528</v>
      </c>
      <c r="E41" s="8" t="n">
        <v>1850.487</v>
      </c>
      <c r="F41" s="7" t="n">
        <v>-16.5222885</v>
      </c>
      <c r="G41" s="7" t="n">
        <v>-46.15413431</v>
      </c>
      <c r="H41" s="8" t="n">
        <v>1230.7028</v>
      </c>
      <c r="I41" s="6" t="inlineStr">
        <is>
          <t>MUITO ALTO</t>
        </is>
      </c>
      <c r="J41" s="6" t="inlineStr">
        <is>
          <t>corn</t>
        </is>
      </c>
      <c r="K41" s="6" t="n">
        <v>12</v>
      </c>
    </row>
    <row r="42">
      <c r="A42" s="6" t="inlineStr">
        <is>
          <t>3171105</t>
        </is>
      </c>
      <c r="B42" s="6" t="inlineStr">
        <is>
          <t>3171105</t>
        </is>
      </c>
      <c r="C42" s="4" t="inlineStr">
        <is>
          <t>Uberaba</t>
        </is>
      </c>
      <c r="D42" s="16" t="n">
        <v>3411</v>
      </c>
      <c r="E42" s="8" t="n">
        <v>1031.823</v>
      </c>
      <c r="F42" s="7" t="n">
        <v>-19.6164895</v>
      </c>
      <c r="G42" s="7" t="n">
        <v>-48.32773679</v>
      </c>
      <c r="H42" s="8" t="n">
        <v>1205.5664</v>
      </c>
      <c r="I42" s="6" t="inlineStr">
        <is>
          <t>MUITO ALTO</t>
        </is>
      </c>
      <c r="J42" s="6" t="inlineStr">
        <is>
          <t>sugarcane</t>
        </is>
      </c>
      <c r="K42" s="6" t="n">
        <v>9</v>
      </c>
    </row>
    <row r="43">
      <c r="A43" s="6" t="inlineStr">
        <is>
          <t>3112604</t>
        </is>
      </c>
      <c r="B43" s="6" t="inlineStr">
        <is>
          <t>3112604</t>
        </is>
      </c>
      <c r="C43" s="4" t="inlineStr">
        <is>
          <t>Uberlândia</t>
        </is>
      </c>
      <c r="D43" s="16" t="n">
        <v>14655</v>
      </c>
      <c r="E43" s="8" t="n">
        <v>620.716</v>
      </c>
      <c r="F43" s="7" t="n">
        <v>-18.67513</v>
      </c>
      <c r="G43" s="7" t="n">
        <v>-49.60136963</v>
      </c>
      <c r="H43" s="8" t="n">
        <v>1198.0359</v>
      </c>
      <c r="I43" s="6" t="inlineStr">
        <is>
          <t>MUITO ALTO</t>
        </is>
      </c>
      <c r="J43" s="6" t="inlineStr">
        <is>
          <t>sugarcane</t>
        </is>
      </c>
      <c r="K43" s="6" t="n">
        <v>9</v>
      </c>
    </row>
    <row r="44">
      <c r="A44" s="6" t="inlineStr">
        <is>
          <t>3114550</t>
        </is>
      </c>
      <c r="B44" s="6" t="inlineStr">
        <is>
          <t>3114550</t>
        </is>
      </c>
      <c r="C44" s="4" t="inlineStr">
        <is>
          <t>Uberaba</t>
        </is>
      </c>
      <c r="D44" s="16" t="n">
        <v>9422</v>
      </c>
      <c r="E44" s="8" t="n">
        <v>2063.462</v>
      </c>
      <c r="F44" s="7" t="n">
        <v>-19.77604</v>
      </c>
      <c r="G44" s="7" t="n">
        <v>-50.80409827</v>
      </c>
      <c r="H44" s="8" t="n">
        <v>1193.7114</v>
      </c>
      <c r="I44" s="6" t="inlineStr">
        <is>
          <t>MUITO ALTO</t>
        </is>
      </c>
      <c r="J44" s="6" t="inlineStr">
        <is>
          <t>sugarcane</t>
        </is>
      </c>
      <c r="K44" s="6" t="n">
        <v>9</v>
      </c>
    </row>
    <row r="45">
      <c r="A45" s="6" t="inlineStr">
        <is>
          <t>3126109</t>
        </is>
      </c>
      <c r="B45" s="6" t="inlineStr">
        <is>
          <t>3126109</t>
        </is>
      </c>
      <c r="C45" s="4" t="inlineStr">
        <is>
          <t>Divinópolis</t>
        </is>
      </c>
      <c r="D45" s="16" t="n">
        <v>68248</v>
      </c>
      <c r="E45" s="8" t="n">
        <v>1501.915</v>
      </c>
      <c r="F45" s="7" t="n">
        <v>-20.5242065</v>
      </c>
      <c r="G45" s="7" t="n">
        <v>-45.50848589</v>
      </c>
      <c r="H45" s="8" t="n">
        <v>1145.2809</v>
      </c>
      <c r="I45" s="6" t="inlineStr">
        <is>
          <t>MUITO ALTO</t>
        </is>
      </c>
      <c r="J45" s="6" t="inlineStr">
        <is>
          <t>swine</t>
        </is>
      </c>
      <c r="K45" s="6" t="n">
        <v>11</v>
      </c>
    </row>
    <row r="46">
      <c r="A46" s="6" t="inlineStr">
        <is>
          <t>3133402</t>
        </is>
      </c>
      <c r="B46" s="6" t="inlineStr">
        <is>
          <t>3133402</t>
        </is>
      </c>
      <c r="C46" s="4" t="inlineStr">
        <is>
          <t>Uberaba</t>
        </is>
      </c>
      <c r="D46" s="16" t="n">
        <v>13690</v>
      </c>
      <c r="E46" s="8" t="n">
        <v>1802.438</v>
      </c>
      <c r="F46" s="7" t="n">
        <v>-19.7559355</v>
      </c>
      <c r="G46" s="7" t="n">
        <v>-49.4291261</v>
      </c>
      <c r="H46" s="8" t="n">
        <v>1070.6939</v>
      </c>
      <c r="I46" s="6" t="inlineStr">
        <is>
          <t>MUITO ALTO</t>
        </is>
      </c>
      <c r="J46" s="6" t="inlineStr">
        <is>
          <t>sugarcane</t>
        </is>
      </c>
      <c r="K46" s="6" t="n">
        <v>10</v>
      </c>
    </row>
    <row r="47">
      <c r="A47" s="6" t="inlineStr">
        <is>
          <t>3100203</t>
        </is>
      </c>
      <c r="B47" s="6" t="inlineStr">
        <is>
          <t>3100203</t>
        </is>
      </c>
      <c r="C47" s="4" t="inlineStr">
        <is>
          <t>Divinópolis</t>
        </is>
      </c>
      <c r="D47" s="16" t="n">
        <v>22675</v>
      </c>
      <c r="E47" s="8" t="n">
        <v>1817.067</v>
      </c>
      <c r="F47" s="7" t="n">
        <v>-19.0972285</v>
      </c>
      <c r="G47" s="7" t="n">
        <v>-45.37113729</v>
      </c>
      <c r="H47" s="8" t="n">
        <v>1056.9926</v>
      </c>
      <c r="I47" s="6" t="inlineStr">
        <is>
          <t>MUITO ALTO</t>
        </is>
      </c>
      <c r="J47" s="6" t="inlineStr">
        <is>
          <t>swine</t>
        </is>
      </c>
      <c r="K47" s="6" t="n">
        <v>10</v>
      </c>
    </row>
    <row r="48">
      <c r="A48" s="6" t="inlineStr">
        <is>
          <t>3108552</t>
        </is>
      </c>
      <c r="B48" s="6" t="inlineStr">
        <is>
          <t>3108552</t>
        </is>
      </c>
      <c r="C48" s="4" t="inlineStr">
        <is>
          <t>Patos de Minas</t>
        </is>
      </c>
      <c r="D48" s="16" t="n">
        <v>15020</v>
      </c>
      <c r="E48" s="8" t="n">
        <v>2509.694</v>
      </c>
      <c r="F48" s="7" t="n">
        <v>-16.943919</v>
      </c>
      <c r="G48" s="7" t="n">
        <v>-45.86367988</v>
      </c>
      <c r="H48" s="8" t="n">
        <v>994.3588999999999</v>
      </c>
      <c r="I48" s="6" t="inlineStr">
        <is>
          <t>ALTO</t>
        </is>
      </c>
      <c r="J48" s="6" t="inlineStr">
        <is>
          <t>swine</t>
        </is>
      </c>
      <c r="K48" s="6" t="n">
        <v>10</v>
      </c>
    </row>
    <row r="49">
      <c r="A49" s="6" t="inlineStr">
        <is>
          <t>3118205</t>
        </is>
      </c>
      <c r="B49" s="6" t="inlineStr">
        <is>
          <t>3118205</t>
        </is>
      </c>
      <c r="C49" s="4" t="inlineStr">
        <is>
          <t>Uberaba</t>
        </is>
      </c>
      <c r="D49" s="16" t="n">
        <v>6694</v>
      </c>
      <c r="E49" s="8" t="n">
        <v>618.3630000000001</v>
      </c>
      <c r="F49" s="7" t="n">
        <v>-19.859446</v>
      </c>
      <c r="G49" s="7" t="n">
        <v>-47.61779973</v>
      </c>
      <c r="H49" s="8" t="n">
        <v>983.0829</v>
      </c>
      <c r="I49" s="6" t="inlineStr">
        <is>
          <t>ALTO</t>
        </is>
      </c>
      <c r="J49" s="6" t="inlineStr">
        <is>
          <t>sugarcane</t>
        </is>
      </c>
      <c r="K49" s="6" t="n">
        <v>9</v>
      </c>
    </row>
    <row r="50">
      <c r="A50" s="6" t="inlineStr">
        <is>
          <t>3147907</t>
        </is>
      </c>
      <c r="B50" s="6" t="inlineStr">
        <is>
          <t>3147907</t>
        </is>
      </c>
      <c r="C50" s="4" t="inlineStr">
        <is>
          <t>Varginha</t>
        </is>
      </c>
      <c r="D50" s="16" t="n">
        <v>111939</v>
      </c>
      <c r="E50" s="8" t="n">
        <v>1338.07</v>
      </c>
      <c r="F50" s="7" t="n">
        <v>-20.7268555</v>
      </c>
      <c r="G50" s="7" t="n">
        <v>-46.56079772</v>
      </c>
      <c r="H50" s="8" t="n">
        <v>975.8362</v>
      </c>
      <c r="I50" s="6" t="inlineStr">
        <is>
          <t>ALTO</t>
        </is>
      </c>
      <c r="J50" s="6" t="inlineStr">
        <is>
          <t>sugarcane</t>
        </is>
      </c>
      <c r="K50" s="6" t="n">
        <v>11</v>
      </c>
    </row>
    <row r="51">
      <c r="A51" s="6" t="inlineStr">
        <is>
          <t>3129103</t>
        </is>
      </c>
      <c r="B51" s="6" t="inlineStr">
        <is>
          <t>3129103</t>
        </is>
      </c>
      <c r="C51" s="4" t="inlineStr">
        <is>
          <t>Uberlândia</t>
        </is>
      </c>
      <c r="D51" s="16" t="n">
        <v>5192</v>
      </c>
      <c r="E51" s="8" t="n">
        <v>1849.137</v>
      </c>
      <c r="F51" s="7" t="n">
        <v>-19.0582475</v>
      </c>
      <c r="G51" s="7" t="n">
        <v>-49.83947982</v>
      </c>
      <c r="H51" s="8" t="n">
        <v>950.2677</v>
      </c>
      <c r="I51" s="6" t="inlineStr">
        <is>
          <t>ALTO</t>
        </is>
      </c>
      <c r="J51" s="6" t="inlineStr">
        <is>
          <t>swine</t>
        </is>
      </c>
      <c r="K51" s="6" t="n">
        <v>10</v>
      </c>
    </row>
    <row r="52">
      <c r="A52" s="6" t="inlineStr">
        <is>
          <t>3107406</t>
        </is>
      </c>
      <c r="B52" s="6" t="inlineStr">
        <is>
          <t>3107406</t>
        </is>
      </c>
      <c r="C52" s="4" t="inlineStr">
        <is>
          <t>Divinópolis</t>
        </is>
      </c>
      <c r="D52" s="16" t="n">
        <v>51737</v>
      </c>
      <c r="E52" s="8" t="n">
        <v>1213.546</v>
      </c>
      <c r="F52" s="7" t="n">
        <v>-19.7079355</v>
      </c>
      <c r="G52" s="7" t="n">
        <v>-45.30174825</v>
      </c>
      <c r="H52" s="8" t="n">
        <v>945.6953</v>
      </c>
      <c r="I52" s="6" t="inlineStr">
        <is>
          <t>ALTO</t>
        </is>
      </c>
      <c r="J52" s="6" t="inlineStr">
        <is>
          <t>swine</t>
        </is>
      </c>
      <c r="K52" s="6" t="n">
        <v>10</v>
      </c>
    </row>
    <row r="53">
      <c r="A53" s="6" t="inlineStr">
        <is>
          <t>3161700</t>
        </is>
      </c>
      <c r="B53" s="6" t="inlineStr">
        <is>
          <t>3161700</t>
        </is>
      </c>
      <c r="C53" s="4" t="inlineStr">
        <is>
          <t>Patos de Minas</t>
        </is>
      </c>
      <c r="D53" s="16" t="n">
        <v>7375</v>
      </c>
      <c r="E53" s="8" t="n">
        <v>2692.545</v>
      </c>
      <c r="F53" s="7" t="n">
        <v>-18.1773205</v>
      </c>
      <c r="G53" s="7" t="n">
        <v>-45.50562511</v>
      </c>
      <c r="H53" s="8" t="n">
        <v>929.6141</v>
      </c>
      <c r="I53" s="6" t="inlineStr">
        <is>
          <t>ALTO</t>
        </is>
      </c>
      <c r="J53" s="6" t="inlineStr">
        <is>
          <t>swine</t>
        </is>
      </c>
      <c r="K53" s="6" t="n">
        <v>11</v>
      </c>
    </row>
    <row r="54">
      <c r="A54" s="6" t="inlineStr">
        <is>
          <t>3143104</t>
        </is>
      </c>
      <c r="B54" s="6" t="inlineStr">
        <is>
          <t>3143104</t>
        </is>
      </c>
      <c r="C54" s="4" t="inlineStr">
        <is>
          <t>Uberlândia</t>
        </is>
      </c>
      <c r="D54" s="16" t="n">
        <v>47692</v>
      </c>
      <c r="E54" s="8" t="n">
        <v>1343.035</v>
      </c>
      <c r="F54" s="7" t="n">
        <v>-18.7152615</v>
      </c>
      <c r="G54" s="7" t="n">
        <v>-47.43821657</v>
      </c>
      <c r="H54" s="8" t="n">
        <v>916.7105</v>
      </c>
      <c r="I54" s="6" t="inlineStr">
        <is>
          <t>ALTO</t>
        </is>
      </c>
      <c r="J54" s="6" t="inlineStr">
        <is>
          <t>swine</t>
        </is>
      </c>
      <c r="K54" s="6" t="n">
        <v>10</v>
      </c>
    </row>
    <row r="55">
      <c r="A55" s="6" t="inlineStr">
        <is>
          <t>3109451</t>
        </is>
      </c>
      <c r="B55" s="6" t="inlineStr">
        <is>
          <t>3109451</t>
        </is>
      </c>
      <c r="C55" s="4" t="inlineStr">
        <is>
          <t>Patos de Minas</t>
        </is>
      </c>
      <c r="D55" s="16" t="n">
        <v>6627</v>
      </c>
      <c r="E55" s="8" t="n">
        <v>1033.055</v>
      </c>
      <c r="F55" s="7" t="n">
        <v>-16.06895745</v>
      </c>
      <c r="G55" s="7" t="n">
        <v>-47.1143244</v>
      </c>
      <c r="H55" s="8" t="n">
        <v>906.4942</v>
      </c>
      <c r="I55" s="6" t="inlineStr">
        <is>
          <t>ALTO</t>
        </is>
      </c>
      <c r="J55" s="6" t="inlineStr">
        <is>
          <t>corn</t>
        </is>
      </c>
      <c r="K55" s="6" t="n">
        <v>9</v>
      </c>
    </row>
    <row r="56">
      <c r="A56" s="6" t="inlineStr">
        <is>
          <t>3130705</t>
        </is>
      </c>
      <c r="B56" s="6" t="inlineStr">
        <is>
          <t>3130705</t>
        </is>
      </c>
      <c r="C56" s="4" t="inlineStr">
        <is>
          <t>Uberlândia</t>
        </is>
      </c>
      <c r="D56" s="16" t="n">
        <v>6171</v>
      </c>
      <c r="E56" s="8" t="n">
        <v>830.03</v>
      </c>
      <c r="F56" s="7" t="n">
        <v>-18.966849</v>
      </c>
      <c r="G56" s="7" t="n">
        <v>-47.85010181</v>
      </c>
      <c r="H56" s="8" t="n">
        <v>905.9835</v>
      </c>
      <c r="I56" s="6" t="inlineStr">
        <is>
          <t>ALTO</t>
        </is>
      </c>
      <c r="J56" s="6" t="inlineStr">
        <is>
          <t>forestry</t>
        </is>
      </c>
      <c r="K56" s="6" t="n">
        <v>10</v>
      </c>
    </row>
    <row r="57">
      <c r="A57" s="6" t="inlineStr">
        <is>
          <t>3171006</t>
        </is>
      </c>
      <c r="B57" s="6" t="inlineStr">
        <is>
          <t>3171006</t>
        </is>
      </c>
      <c r="C57" s="4" t="inlineStr">
        <is>
          <t>Patos de Minas</t>
        </is>
      </c>
      <c r="D57" s="16" t="n">
        <v>19975</v>
      </c>
      <c r="E57" s="8" t="n">
        <v>1913.396</v>
      </c>
      <c r="F57" s="7" t="n">
        <v>-17.862405</v>
      </c>
      <c r="G57" s="7" t="n">
        <v>-46.83730268</v>
      </c>
      <c r="H57" s="8" t="n">
        <v>896.7166</v>
      </c>
      <c r="I57" s="6" t="inlineStr">
        <is>
          <t>ALTO</t>
        </is>
      </c>
      <c r="J57" s="6" t="inlineStr">
        <is>
          <t>swine</t>
        </is>
      </c>
      <c r="K57" s="6" t="n">
        <v>10</v>
      </c>
    </row>
    <row r="58">
      <c r="A58" s="6" t="inlineStr">
        <is>
          <t>3106200</t>
        </is>
      </c>
      <c r="B58" s="6" t="inlineStr">
        <is>
          <t>3106200</t>
        </is>
      </c>
      <c r="C58" s="4" t="inlineStr">
        <is>
          <t>Belo Horizonte</t>
        </is>
      </c>
      <c r="D58" s="16" t="n">
        <v>2315560</v>
      </c>
      <c r="E58" s="8" t="n">
        <v>331.337</v>
      </c>
      <c r="F58" s="7" t="n">
        <v>-19.9179564</v>
      </c>
      <c r="G58" s="7" t="n">
        <v>-43.95033621</v>
      </c>
      <c r="H58" s="8" t="n">
        <v>854.1719000000001</v>
      </c>
      <c r="I58" s="6" t="inlineStr">
        <is>
          <t>ALTO</t>
        </is>
      </c>
      <c r="J58" s="6" t="inlineStr">
        <is>
          <t>rsu_organic</t>
        </is>
      </c>
      <c r="K58" s="6" t="n">
        <v>5</v>
      </c>
    </row>
    <row r="59">
      <c r="A59" s="6" t="inlineStr">
        <is>
          <t>3156403</t>
        </is>
      </c>
      <c r="B59" s="6" t="inlineStr">
        <is>
          <t>3156403</t>
        </is>
      </c>
      <c r="C59" s="4" t="inlineStr">
        <is>
          <t>Uberlândia</t>
        </is>
      </c>
      <c r="D59" s="16" t="n">
        <v>3386</v>
      </c>
      <c r="E59" s="8" t="n">
        <v>407.557</v>
      </c>
      <c r="F59" s="7" t="n">
        <v>-18.9068385</v>
      </c>
      <c r="G59" s="7" t="n">
        <v>-47.55502159</v>
      </c>
      <c r="H59" s="8" t="n">
        <v>846.8774</v>
      </c>
      <c r="I59" s="6" t="inlineStr">
        <is>
          <t>ALTO</t>
        </is>
      </c>
      <c r="J59" s="6" t="inlineStr">
        <is>
          <t>forestry</t>
        </is>
      </c>
      <c r="K59" s="6" t="n">
        <v>9</v>
      </c>
    </row>
    <row r="60">
      <c r="A60" s="6" t="inlineStr">
        <is>
          <t>3162500</t>
        </is>
      </c>
      <c r="B60" s="6" t="inlineStr">
        <is>
          <t>3162500</t>
        </is>
      </c>
      <c r="C60" s="4" t="inlineStr">
        <is>
          <t>Barbacena</t>
        </is>
      </c>
      <c r="D60" s="16" t="n">
        <v>90225</v>
      </c>
      <c r="E60" s="8" t="n">
        <v>1452.002</v>
      </c>
      <c r="F60" s="7" t="n">
        <v>-21.2380295</v>
      </c>
      <c r="G60" s="7" t="n">
        <v>-44.25356666</v>
      </c>
      <c r="H60" s="8" t="n">
        <v>817.1151</v>
      </c>
      <c r="I60" s="6" t="inlineStr">
        <is>
          <t>ALTO</t>
        </is>
      </c>
      <c r="J60" s="6" t="inlineStr">
        <is>
          <t>corn</t>
        </is>
      </c>
      <c r="K60" s="6" t="n">
        <v>11</v>
      </c>
    </row>
    <row r="61">
      <c r="A61" s="6" t="inlineStr">
        <is>
          <t>3155504</t>
        </is>
      </c>
      <c r="B61" s="6" t="inlineStr">
        <is>
          <t>3155504</t>
        </is>
      </c>
      <c r="C61" s="4" t="inlineStr">
        <is>
          <t>Patos de Minas</t>
        </is>
      </c>
      <c r="D61" s="16" t="n">
        <v>14532</v>
      </c>
      <c r="E61" s="8" t="n">
        <v>1352.353</v>
      </c>
      <c r="F61" s="7" t="n">
        <v>-19.247187</v>
      </c>
      <c r="G61" s="7" t="n">
        <v>-46.31843144</v>
      </c>
      <c r="H61" s="8" t="n">
        <v>802.0338</v>
      </c>
      <c r="I61" s="6" t="inlineStr">
        <is>
          <t>ALTO</t>
        </is>
      </c>
      <c r="J61" s="6" t="inlineStr">
        <is>
          <t>swine</t>
        </is>
      </c>
      <c r="K61" s="6" t="n">
        <v>12</v>
      </c>
    </row>
    <row r="62">
      <c r="A62" s="6" t="inlineStr">
        <is>
          <t>3127800</t>
        </is>
      </c>
      <c r="B62" s="6" t="inlineStr">
        <is>
          <t>3127800</t>
        </is>
      </c>
      <c r="C62" s="4" t="inlineStr">
        <is>
          <t>Montes Claros</t>
        </is>
      </c>
      <c r="D62" s="16" t="n">
        <v>13901</v>
      </c>
      <c r="E62" s="8" t="n">
        <v>3885.294</v>
      </c>
      <c r="F62" s="7" t="n">
        <v>-16.4739085</v>
      </c>
      <c r="G62" s="7" t="n">
        <v>-43.02638847</v>
      </c>
      <c r="H62" s="8" t="n">
        <v>800.1875</v>
      </c>
      <c r="I62" s="6" t="inlineStr">
        <is>
          <t>ALTO</t>
        </is>
      </c>
      <c r="J62" s="6" t="inlineStr">
        <is>
          <t>forestry</t>
        </is>
      </c>
      <c r="K62" s="6" t="n">
        <v>10</v>
      </c>
    </row>
    <row r="63">
      <c r="A63" s="6" t="inlineStr">
        <is>
          <t>3161304</t>
        </is>
      </c>
      <c r="B63" s="6" t="inlineStr">
        <is>
          <t>3161304</t>
        </is>
      </c>
      <c r="C63" s="4" t="inlineStr">
        <is>
          <t>Uberaba</t>
        </is>
      </c>
      <c r="D63" s="16" t="n">
        <v>5732</v>
      </c>
      <c r="E63" s="8" t="n">
        <v>1128.864</v>
      </c>
      <c r="F63" s="7" t="n">
        <v>-19.774769</v>
      </c>
      <c r="G63" s="7" t="n">
        <v>-49.88032125</v>
      </c>
      <c r="H63" s="8" t="n">
        <v>785.5212</v>
      </c>
      <c r="I63" s="6" t="inlineStr">
        <is>
          <t>ALTO</t>
        </is>
      </c>
      <c r="J63" s="6" t="inlineStr">
        <is>
          <t>sugarcane</t>
        </is>
      </c>
      <c r="K63" s="6" t="n">
        <v>9</v>
      </c>
    </row>
    <row r="64">
      <c r="A64" s="6" t="inlineStr">
        <is>
          <t>3116159</t>
        </is>
      </c>
      <c r="B64" s="6" t="inlineStr">
        <is>
          <t>3116159</t>
        </is>
      </c>
      <c r="C64" s="4" t="inlineStr">
        <is>
          <t>Montes Claros</t>
        </is>
      </c>
      <c r="D64" s="16" t="n">
        <v>12355</v>
      </c>
      <c r="E64" s="8" t="n">
        <v>3255.189</v>
      </c>
      <c r="F64" s="7" t="n">
        <v>-15.457223</v>
      </c>
      <c r="G64" s="7" t="n">
        <v>-45.41765415</v>
      </c>
      <c r="H64" s="8" t="n">
        <v>777.3241</v>
      </c>
      <c r="I64" s="6" t="inlineStr">
        <is>
          <t>ALTO</t>
        </is>
      </c>
      <c r="J64" s="6" t="inlineStr">
        <is>
          <t>soybean</t>
        </is>
      </c>
      <c r="K64" s="6" t="n">
        <v>9</v>
      </c>
    </row>
    <row r="65">
      <c r="A65" s="6" t="inlineStr">
        <is>
          <t>3166808</t>
        </is>
      </c>
      <c r="B65" s="6" t="inlineStr">
        <is>
          <t>3166808</t>
        </is>
      </c>
      <c r="C65" s="4" t="inlineStr">
        <is>
          <t>Patos de Minas</t>
        </is>
      </c>
      <c r="D65" s="16" t="n">
        <v>11801</v>
      </c>
      <c r="E65" s="8" t="n">
        <v>1295.272</v>
      </c>
      <c r="F65" s="7" t="n">
        <v>-19.1267335</v>
      </c>
      <c r="G65" s="7" t="n">
        <v>-46.63084695</v>
      </c>
      <c r="H65" s="8" t="n">
        <v>770.0084000000001</v>
      </c>
      <c r="I65" s="6" t="inlineStr">
        <is>
          <t>ALTO</t>
        </is>
      </c>
      <c r="J65" s="6" t="inlineStr">
        <is>
          <t>swine</t>
        </is>
      </c>
      <c r="K65" s="6" t="n">
        <v>11</v>
      </c>
    </row>
    <row r="66">
      <c r="A66" s="6" t="inlineStr">
        <is>
          <t>3130309</t>
        </is>
      </c>
      <c r="B66" s="6" t="inlineStr">
        <is>
          <t>3130309</t>
        </is>
      </c>
      <c r="C66" s="4" t="inlineStr">
        <is>
          <t>Divinópolis</t>
        </is>
      </c>
      <c r="D66" s="16" t="n">
        <v>6826</v>
      </c>
      <c r="E66" s="8" t="n">
        <v>628.2</v>
      </c>
      <c r="F66" s="7" t="n">
        <v>-20.134634</v>
      </c>
      <c r="G66" s="7" t="n">
        <v>-45.75037117</v>
      </c>
      <c r="H66" s="8" t="n">
        <v>765.6173</v>
      </c>
      <c r="I66" s="6" t="inlineStr">
        <is>
          <t>ALTO</t>
        </is>
      </c>
      <c r="J66" s="6" t="inlineStr">
        <is>
          <t>swine</t>
        </is>
      </c>
      <c r="K66" s="6" t="n">
        <v>9</v>
      </c>
    </row>
    <row r="67">
      <c r="A67" s="6" t="inlineStr">
        <is>
          <t>3135803</t>
        </is>
      </c>
      <c r="B67" s="6" t="inlineStr">
        <is>
          <t>3135803</t>
        </is>
      </c>
      <c r="C67" s="4" t="inlineStr">
        <is>
          <t>Teófilo Otoni</t>
        </is>
      </c>
      <c r="D67" s="16" t="n">
        <v>24007</v>
      </c>
      <c r="E67" s="8" t="n">
        <v>3514.216</v>
      </c>
      <c r="F67" s="7" t="n">
        <v>-16.401741</v>
      </c>
      <c r="G67" s="7" t="n">
        <v>-41.03738796</v>
      </c>
      <c r="H67" s="8" t="n">
        <v>757.1802</v>
      </c>
      <c r="I67" s="6" t="inlineStr">
        <is>
          <t>ALTO</t>
        </is>
      </c>
      <c r="J67" s="6" t="inlineStr">
        <is>
          <t>forestry</t>
        </is>
      </c>
      <c r="K67" s="6" t="n">
        <v>10</v>
      </c>
    </row>
    <row r="68">
      <c r="A68" s="6" t="inlineStr">
        <is>
          <t>3157708</t>
        </is>
      </c>
      <c r="B68" s="6" t="inlineStr">
        <is>
          <t>3157708</t>
        </is>
      </c>
      <c r="C68" s="4" t="inlineStr">
        <is>
          <t>Uberaba</t>
        </is>
      </c>
      <c r="D68" s="16" t="n">
        <v>15734</v>
      </c>
      <c r="E68" s="8" t="n">
        <v>723.784</v>
      </c>
      <c r="F68" s="7" t="n">
        <v>-19.379462</v>
      </c>
      <c r="G68" s="7" t="n">
        <v>-47.51275164</v>
      </c>
      <c r="H68" s="8" t="n">
        <v>732.3873</v>
      </c>
      <c r="I68" s="6" t="inlineStr">
        <is>
          <t>ALTO</t>
        </is>
      </c>
      <c r="J68" s="6" t="inlineStr">
        <is>
          <t>sugarcane</t>
        </is>
      </c>
      <c r="K68" s="6" t="n">
        <v>11</v>
      </c>
    </row>
    <row r="69">
      <c r="A69" s="6" t="inlineStr">
        <is>
          <t>3168903</t>
        </is>
      </c>
      <c r="B69" s="6" t="inlineStr">
        <is>
          <t>3168903</t>
        </is>
      </c>
      <c r="C69" s="4" t="inlineStr">
        <is>
          <t>Patos de Minas</t>
        </is>
      </c>
      <c r="D69" s="16" t="n">
        <v>7883</v>
      </c>
      <c r="E69" s="8" t="n">
        <v>2091.774</v>
      </c>
      <c r="F69" s="7" t="n">
        <v>-18.837025</v>
      </c>
      <c r="G69" s="7" t="n">
        <v>-45.81269443</v>
      </c>
      <c r="H69" s="8" t="n">
        <v>731.1736</v>
      </c>
      <c r="I69" s="6" t="inlineStr">
        <is>
          <t>ALTO</t>
        </is>
      </c>
      <c r="J69" s="6" t="inlineStr">
        <is>
          <t>swine</t>
        </is>
      </c>
      <c r="K69" s="6" t="n">
        <v>11</v>
      </c>
    </row>
    <row r="70">
      <c r="A70" s="6" t="inlineStr">
        <is>
          <t>3150703</t>
        </is>
      </c>
      <c r="B70" s="6" t="inlineStr">
        <is>
          <t>3150703</t>
        </is>
      </c>
      <c r="C70" s="4" t="inlineStr">
        <is>
          <t>Uberaba</t>
        </is>
      </c>
      <c r="D70" s="16" t="n">
        <v>5537</v>
      </c>
      <c r="E70" s="8" t="n">
        <v>337.98</v>
      </c>
      <c r="F70" s="7" t="n">
        <v>-19.943392</v>
      </c>
      <c r="G70" s="7" t="n">
        <v>-48.65647876</v>
      </c>
      <c r="H70" s="8" t="n">
        <v>720.9951</v>
      </c>
      <c r="I70" s="6" t="inlineStr">
        <is>
          <t>ALTO</t>
        </is>
      </c>
      <c r="J70" s="6" t="inlineStr">
        <is>
          <t>sugarcane</t>
        </is>
      </c>
      <c r="K70" s="6" t="n">
        <v>9</v>
      </c>
    </row>
    <row r="71">
      <c r="A71" s="6" t="inlineStr">
        <is>
          <t>3120904</t>
        </is>
      </c>
      <c r="B71" s="6" t="inlineStr">
        <is>
          <t>3120904</t>
        </is>
      </c>
      <c r="C71" s="4" t="inlineStr">
        <is>
          <t>Belo Horizonte</t>
        </is>
      </c>
      <c r="D71" s="16" t="n">
        <v>80665</v>
      </c>
      <c r="E71" s="8" t="n">
        <v>3296.2</v>
      </c>
      <c r="F71" s="7" t="n">
        <v>-18.754195</v>
      </c>
      <c r="G71" s="7" t="n">
        <v>-44.52381741</v>
      </c>
      <c r="H71" s="8" t="n">
        <v>706.2827</v>
      </c>
      <c r="I71" s="6" t="inlineStr">
        <is>
          <t>ALTO</t>
        </is>
      </c>
      <c r="J71" s="6" t="inlineStr">
        <is>
          <t>forestry</t>
        </is>
      </c>
      <c r="K71" s="6" t="n">
        <v>9</v>
      </c>
    </row>
    <row r="72">
      <c r="A72" s="6" t="inlineStr">
        <is>
          <t>3141306</t>
        </is>
      </c>
      <c r="B72" s="6" t="inlineStr">
        <is>
          <t>3141306</t>
        </is>
      </c>
      <c r="C72" s="4" t="inlineStr">
        <is>
          <t>Divinópolis</t>
        </is>
      </c>
      <c r="D72" s="16" t="n">
        <v>3900</v>
      </c>
      <c r="E72" s="8" t="n">
        <v>946.437</v>
      </c>
      <c r="F72" s="7" t="n">
        <v>-20.0211885</v>
      </c>
      <c r="G72" s="7" t="n">
        <v>-46.26476446</v>
      </c>
      <c r="H72" s="8" t="n">
        <v>679.0444</v>
      </c>
      <c r="I72" s="6" t="inlineStr">
        <is>
          <t>ALTO</t>
        </is>
      </c>
      <c r="J72" s="6" t="inlineStr">
        <is>
          <t>swine</t>
        </is>
      </c>
      <c r="K72" s="6" t="n">
        <v>11</v>
      </c>
    </row>
    <row r="73">
      <c r="A73" s="6" t="inlineStr">
        <is>
          <t>3169307</t>
        </is>
      </c>
      <c r="B73" s="6" t="inlineStr">
        <is>
          <t>3169307</t>
        </is>
      </c>
      <c r="C73" s="4" t="inlineStr">
        <is>
          <t>Varginha</t>
        </is>
      </c>
      <c r="D73" s="16" t="n">
        <v>75485</v>
      </c>
      <c r="E73" s="8" t="n">
        <v>828.038</v>
      </c>
      <c r="F73" s="7" t="n">
        <v>-21.698107</v>
      </c>
      <c r="G73" s="7" t="n">
        <v>-45.20832678</v>
      </c>
      <c r="H73" s="8" t="n">
        <v>675.7606</v>
      </c>
      <c r="I73" s="6" t="inlineStr">
        <is>
          <t>ALTO</t>
        </is>
      </c>
      <c r="J73" s="6" t="inlineStr">
        <is>
          <t>corn</t>
        </is>
      </c>
      <c r="K73" s="6" t="n">
        <v>11</v>
      </c>
    </row>
    <row r="74">
      <c r="A74" s="6" t="inlineStr">
        <is>
          <t>3123205</t>
        </is>
      </c>
      <c r="B74" s="6" t="inlineStr">
        <is>
          <t>3123205</t>
        </is>
      </c>
      <c r="C74" s="4" t="inlineStr">
        <is>
          <t>Divinópolis</t>
        </is>
      </c>
      <c r="D74" s="16" t="n">
        <v>12630</v>
      </c>
      <c r="E74" s="8" t="n">
        <v>1111.202</v>
      </c>
      <c r="F74" s="7" t="n">
        <v>-19.503908</v>
      </c>
      <c r="G74" s="7" t="n">
        <v>-45.56720561</v>
      </c>
      <c r="H74" s="8" t="n">
        <v>662.0774</v>
      </c>
      <c r="I74" s="6" t="inlineStr">
        <is>
          <t>ALTO</t>
        </is>
      </c>
      <c r="J74" s="6" t="inlineStr">
        <is>
          <t>swine</t>
        </is>
      </c>
      <c r="K74" s="6" t="n">
        <v>9</v>
      </c>
    </row>
    <row r="75">
      <c r="A75" s="6" t="inlineStr">
        <is>
          <t>3101607</t>
        </is>
      </c>
      <c r="B75" s="6" t="inlineStr">
        <is>
          <t>3101607</t>
        </is>
      </c>
      <c r="C75" s="4" t="inlineStr">
        <is>
          <t>Varginha</t>
        </is>
      </c>
      <c r="D75" s="16" t="n">
        <v>78970</v>
      </c>
      <c r="E75" s="8" t="n">
        <v>850.446</v>
      </c>
      <c r="F75" s="7" t="n">
        <v>-21.3633785</v>
      </c>
      <c r="G75" s="7" t="n">
        <v>-45.92615302</v>
      </c>
      <c r="H75" s="8" t="n">
        <v>652.9525</v>
      </c>
      <c r="I75" s="6" t="inlineStr">
        <is>
          <t>ALTO</t>
        </is>
      </c>
      <c r="J75" s="6" t="inlineStr">
        <is>
          <t>sugarcane</t>
        </is>
      </c>
      <c r="K75" s="6" t="n">
        <v>12</v>
      </c>
    </row>
    <row r="76">
      <c r="A76" s="6" t="inlineStr">
        <is>
          <t>3170529</t>
        </is>
      </c>
      <c r="B76" s="6" t="inlineStr">
        <is>
          <t>3170529</t>
        </is>
      </c>
      <c r="C76" s="4" t="inlineStr">
        <is>
          <t>Patos de Minas</t>
        </is>
      </c>
      <c r="D76" s="16" t="n">
        <v>17479</v>
      </c>
      <c r="E76" s="8" t="n">
        <v>2076.942</v>
      </c>
      <c r="F76" s="7" t="n">
        <v>-16.0219665</v>
      </c>
      <c r="G76" s="7" t="n">
        <v>-45.60831897</v>
      </c>
      <c r="H76" s="8" t="n">
        <v>646.3337</v>
      </c>
      <c r="I76" s="6" t="inlineStr">
        <is>
          <t>ALTO</t>
        </is>
      </c>
      <c r="J76" s="6" t="inlineStr">
        <is>
          <t>swine</t>
        </is>
      </c>
      <c r="K76" s="6" t="n">
        <v>11</v>
      </c>
    </row>
    <row r="77">
      <c r="A77" s="6" t="inlineStr">
        <is>
          <t>3140506</t>
        </is>
      </c>
      <c r="B77" s="6" t="inlineStr">
        <is>
          <t>3140506</t>
        </is>
      </c>
      <c r="C77" s="4" t="inlineStr">
        <is>
          <t>Divinópolis</t>
        </is>
      </c>
      <c r="D77" s="16" t="n">
        <v>14003</v>
      </c>
      <c r="E77" s="8" t="n">
        <v>1058.418</v>
      </c>
      <c r="F77" s="7" t="n">
        <v>-19.3880605</v>
      </c>
      <c r="G77" s="7" t="n">
        <v>-45.20017915</v>
      </c>
      <c r="H77" s="8" t="n">
        <v>645.7421000000001</v>
      </c>
      <c r="I77" s="6" t="inlineStr">
        <is>
          <t>ALTO</t>
        </is>
      </c>
      <c r="J77" s="6" t="inlineStr">
        <is>
          <t>swine</t>
        </is>
      </c>
      <c r="K77" s="6" t="n">
        <v>8</v>
      </c>
    </row>
    <row r="78">
      <c r="A78" s="6" t="inlineStr">
        <is>
          <t>3133501</t>
        </is>
      </c>
      <c r="B78" s="6" t="inlineStr">
        <is>
          <t>3133501</t>
        </is>
      </c>
      <c r="C78" s="4" t="inlineStr">
        <is>
          <t>Divinópolis</t>
        </is>
      </c>
      <c r="D78" s="16" t="n">
        <v>21046</v>
      </c>
      <c r="E78" s="8" t="n">
        <v>1040.519</v>
      </c>
      <c r="F78" s="7" t="n">
        <v>-20.454999</v>
      </c>
      <c r="G78" s="7" t="n">
        <v>-45.10294521</v>
      </c>
      <c r="H78" s="8" t="n">
        <v>643.5862</v>
      </c>
      <c r="I78" s="6" t="inlineStr">
        <is>
          <t>ALTO</t>
        </is>
      </c>
      <c r="J78" s="6" t="inlineStr">
        <is>
          <t>swine</t>
        </is>
      </c>
      <c r="K78" s="6" t="n">
        <v>11</v>
      </c>
    </row>
    <row r="79">
      <c r="A79" s="6" t="inlineStr">
        <is>
          <t>3160405</t>
        </is>
      </c>
      <c r="B79" s="6" t="inlineStr">
        <is>
          <t>3160405</t>
        </is>
      </c>
      <c r="C79" s="4" t="inlineStr">
        <is>
          <t>Divinópolis</t>
        </is>
      </c>
      <c r="D79" s="16" t="n">
        <v>27295</v>
      </c>
      <c r="E79" s="8" t="n">
        <v>1125.78</v>
      </c>
      <c r="F79" s="7" t="n">
        <v>-20.093806</v>
      </c>
      <c r="G79" s="7" t="n">
        <v>-45.24612825</v>
      </c>
      <c r="H79" s="8" t="n">
        <v>640.6688</v>
      </c>
      <c r="I79" s="6" t="inlineStr">
        <is>
          <t>ALTO</t>
        </is>
      </c>
      <c r="J79" s="6" t="inlineStr">
        <is>
          <t>swine</t>
        </is>
      </c>
      <c r="K79" s="6" t="n">
        <v>10</v>
      </c>
    </row>
    <row r="80">
      <c r="A80" s="6" t="inlineStr">
        <is>
          <t>3151602</t>
        </is>
      </c>
      <c r="B80" s="6" t="inlineStr">
        <is>
          <t>3151602</t>
        </is>
      </c>
      <c r="C80" s="4" t="inlineStr">
        <is>
          <t>Uberaba</t>
        </is>
      </c>
      <c r="D80" s="16" t="n">
        <v>11145</v>
      </c>
      <c r="E80" s="8" t="n">
        <v>317.52</v>
      </c>
      <c r="F80" s="7" t="n">
        <v>-20.0704205</v>
      </c>
      <c r="G80" s="7" t="n">
        <v>-48.63316673</v>
      </c>
      <c r="H80" s="8" t="n">
        <v>622.6962</v>
      </c>
      <c r="I80" s="6" t="inlineStr">
        <is>
          <t>ALTO</t>
        </is>
      </c>
      <c r="J80" s="6" t="inlineStr">
        <is>
          <t>sugarcane</t>
        </is>
      </c>
      <c r="K80" s="6" t="n">
        <v>9</v>
      </c>
    </row>
    <row r="81">
      <c r="A81" s="6" t="inlineStr">
        <is>
          <t>3135050</t>
        </is>
      </c>
      <c r="B81" s="6" t="inlineStr">
        <is>
          <t>3135050</t>
        </is>
      </c>
      <c r="C81" s="4" t="inlineStr">
        <is>
          <t>Montes Claros</t>
        </is>
      </c>
      <c r="D81" s="16" t="n">
        <v>37660</v>
      </c>
      <c r="E81" s="8" t="n">
        <v>2635.467</v>
      </c>
      <c r="F81" s="7" t="n">
        <v>-15.2497315</v>
      </c>
      <c r="G81" s="7" t="n">
        <v>-43.67220227</v>
      </c>
      <c r="H81" s="8" t="n">
        <v>620.5934999999999</v>
      </c>
      <c r="I81" s="6" t="inlineStr">
        <is>
          <t>ALTO</t>
        </is>
      </c>
      <c r="J81" s="6" t="inlineStr">
        <is>
          <t>sugarcane</t>
        </is>
      </c>
      <c r="K81" s="6" t="n">
        <v>11</v>
      </c>
    </row>
    <row r="82">
      <c r="A82" s="6" t="inlineStr">
        <is>
          <t>3137205</t>
        </is>
      </c>
      <c r="B82" s="6" t="inlineStr">
        <is>
          <t>3137205</t>
        </is>
      </c>
      <c r="C82" s="4" t="inlineStr">
        <is>
          <t>Divinópolis</t>
        </is>
      </c>
      <c r="D82" s="16" t="n">
        <v>51412</v>
      </c>
      <c r="E82" s="8" t="n">
        <v>439.984</v>
      </c>
      <c r="F82" s="7" t="n">
        <v>-19.998961</v>
      </c>
      <c r="G82" s="7" t="n">
        <v>-45.51292108</v>
      </c>
      <c r="H82" s="8" t="n">
        <v>612.6983</v>
      </c>
      <c r="I82" s="6" t="inlineStr">
        <is>
          <t>ALTO</t>
        </is>
      </c>
      <c r="J82" s="6" t="inlineStr">
        <is>
          <t>sugarcane</t>
        </is>
      </c>
      <c r="K82" s="6" t="n">
        <v>9</v>
      </c>
    </row>
    <row r="83">
      <c r="A83" s="6" t="inlineStr">
        <is>
          <t>3154457</t>
        </is>
      </c>
      <c r="B83" s="6" t="inlineStr">
        <is>
          <t>3154457</t>
        </is>
      </c>
      <c r="C83" s="4" t="inlineStr">
        <is>
          <t>Patos de Minas</t>
        </is>
      </c>
      <c r="D83" s="16" t="n">
        <v>6863</v>
      </c>
      <c r="E83" s="8" t="n">
        <v>1719.266</v>
      </c>
      <c r="F83" s="7" t="n">
        <v>-16.2728015</v>
      </c>
      <c r="G83" s="7" t="n">
        <v>-45.96125157</v>
      </c>
      <c r="H83" s="8" t="n">
        <v>612.3063</v>
      </c>
      <c r="I83" s="6" t="inlineStr">
        <is>
          <t>ALTO</t>
        </is>
      </c>
      <c r="J83" s="6" t="inlineStr">
        <is>
          <t>swine</t>
        </is>
      </c>
      <c r="K83" s="6" t="n">
        <v>11</v>
      </c>
    </row>
    <row r="84">
      <c r="A84" s="6" t="inlineStr">
        <is>
          <t>3170438</t>
        </is>
      </c>
      <c r="B84" s="6" t="inlineStr">
        <is>
          <t>3170438</t>
        </is>
      </c>
      <c r="C84" s="4" t="inlineStr">
        <is>
          <t>Uberaba</t>
        </is>
      </c>
      <c r="D84" s="16" t="n">
        <v>3828</v>
      </c>
      <c r="E84" s="8" t="n">
        <v>1147.407</v>
      </c>
      <c r="F84" s="7" t="n">
        <v>-19.4077395</v>
      </c>
      <c r="G84" s="7" t="n">
        <v>-50.34402397</v>
      </c>
      <c r="H84" s="8" t="n">
        <v>610.9568</v>
      </c>
      <c r="I84" s="6" t="inlineStr">
        <is>
          <t>ALTO</t>
        </is>
      </c>
      <c r="J84" s="6" t="inlineStr">
        <is>
          <t>sugarcane</t>
        </is>
      </c>
      <c r="K84" s="6" t="n">
        <v>9</v>
      </c>
    </row>
    <row r="85">
      <c r="A85" s="6" t="inlineStr">
        <is>
          <t>3104007</t>
        </is>
      </c>
      <c r="B85" s="6" t="inlineStr">
        <is>
          <t>3104007</t>
        </is>
      </c>
      <c r="C85" s="4" t="inlineStr">
        <is>
          <t>Uberaba</t>
        </is>
      </c>
      <c r="D85" s="16" t="n">
        <v>111691</v>
      </c>
      <c r="E85" s="8" t="n">
        <v>1164.062</v>
      </c>
      <c r="F85" s="7" t="n">
        <v>-19.634384</v>
      </c>
      <c r="G85" s="7" t="n">
        <v>-46.97805577</v>
      </c>
      <c r="H85" s="8" t="n">
        <v>604.8669</v>
      </c>
      <c r="I85" s="6" t="inlineStr">
        <is>
          <t>ALTO</t>
        </is>
      </c>
      <c r="J85" s="6" t="inlineStr">
        <is>
          <t>soybean</t>
        </is>
      </c>
      <c r="K85" s="6" t="n">
        <v>11</v>
      </c>
    </row>
    <row r="86">
      <c r="A86" s="6" t="inlineStr">
        <is>
          <t>3131406</t>
        </is>
      </c>
      <c r="B86" s="6" t="inlineStr">
        <is>
          <t>3131406</t>
        </is>
      </c>
      <c r="C86" s="4" t="inlineStr">
        <is>
          <t>Uberlândia</t>
        </is>
      </c>
      <c r="D86" s="16" t="n">
        <v>3775</v>
      </c>
      <c r="E86" s="8" t="n">
        <v>466.02</v>
      </c>
      <c r="F86" s="7" t="n">
        <v>-18.7069525</v>
      </c>
      <c r="G86" s="7" t="n">
        <v>-49.93955257</v>
      </c>
      <c r="H86" s="8" t="n">
        <v>589.6912</v>
      </c>
      <c r="I86" s="6" t="inlineStr">
        <is>
          <t>ALTO</t>
        </is>
      </c>
      <c r="J86" s="6" t="inlineStr">
        <is>
          <t>sugarcane</t>
        </is>
      </c>
      <c r="K86" s="6" t="n">
        <v>8</v>
      </c>
    </row>
    <row r="87">
      <c r="A87" s="6" t="inlineStr">
        <is>
          <t>3116902</t>
        </is>
      </c>
      <c r="B87" s="6" t="inlineStr">
        <is>
          <t>3116902</t>
        </is>
      </c>
      <c r="C87" s="4" t="inlineStr">
        <is>
          <t>Uberaba</t>
        </is>
      </c>
      <c r="D87" s="16" t="n">
        <v>2773</v>
      </c>
      <c r="E87" s="8" t="n">
        <v>1041.047</v>
      </c>
      <c r="F87" s="7" t="n">
        <v>-19.6715285</v>
      </c>
      <c r="G87" s="7" t="n">
        <v>-49.07168167</v>
      </c>
      <c r="H87" s="8" t="n">
        <v>577.1345</v>
      </c>
      <c r="I87" s="6" t="inlineStr">
        <is>
          <t>ALTO</t>
        </is>
      </c>
      <c r="J87" s="6" t="inlineStr">
        <is>
          <t>sugarcane</t>
        </is>
      </c>
      <c r="K87" s="6" t="n">
        <v>10</v>
      </c>
    </row>
    <row r="88">
      <c r="A88" s="6" t="inlineStr">
        <is>
          <t>3138104</t>
        </is>
      </c>
      <c r="B88" s="6" t="inlineStr">
        <is>
          <t>3138104</t>
        </is>
      </c>
      <c r="C88" s="4" t="inlineStr">
        <is>
          <t>Montes Claros</t>
        </is>
      </c>
      <c r="D88" s="16" t="n">
        <v>7124</v>
      </c>
      <c r="E88" s="8" t="n">
        <v>3204.217</v>
      </c>
      <c r="F88" s="7" t="n">
        <v>-17.875903</v>
      </c>
      <c r="G88" s="7" t="n">
        <v>-44.70987361</v>
      </c>
      <c r="H88" s="8" t="n">
        <v>572.04</v>
      </c>
      <c r="I88" s="6" t="inlineStr">
        <is>
          <t>ALTO</t>
        </is>
      </c>
      <c r="J88" s="6" t="inlineStr">
        <is>
          <t>forestry</t>
        </is>
      </c>
      <c r="K88" s="6" t="n">
        <v>11</v>
      </c>
    </row>
    <row r="89">
      <c r="A89" s="6" t="inlineStr">
        <is>
          <t>3145604</t>
        </is>
      </c>
      <c r="B89" s="6" t="inlineStr">
        <is>
          <t>3145604</t>
        </is>
      </c>
      <c r="C89" s="4" t="inlineStr">
        <is>
          <t>Divinópolis</t>
        </is>
      </c>
      <c r="D89" s="16" t="n">
        <v>39262</v>
      </c>
      <c r="E89" s="8" t="n">
        <v>897.294</v>
      </c>
      <c r="F89" s="7" t="n">
        <v>-20.753832</v>
      </c>
      <c r="G89" s="7" t="n">
        <v>-44.70245952</v>
      </c>
      <c r="H89" s="8" t="n">
        <v>565.6494</v>
      </c>
      <c r="I89" s="6" t="inlineStr">
        <is>
          <t>ALTO</t>
        </is>
      </c>
      <c r="J89" s="6" t="inlineStr">
        <is>
          <t>swine</t>
        </is>
      </c>
      <c r="K89" s="6" t="n">
        <v>11</v>
      </c>
    </row>
    <row r="90">
      <c r="A90" s="6" t="inlineStr">
        <is>
          <t>3103751</t>
        </is>
      </c>
      <c r="B90" s="6" t="inlineStr">
        <is>
          <t>3103751</t>
        </is>
      </c>
      <c r="C90" s="4" t="inlineStr">
        <is>
          <t>Uberlândia</t>
        </is>
      </c>
      <c r="D90" s="16" t="n">
        <v>8479</v>
      </c>
      <c r="E90" s="8" t="n">
        <v>294.354</v>
      </c>
      <c r="F90" s="7" t="n">
        <v>-18.47685475</v>
      </c>
      <c r="G90" s="7" t="n">
        <v>-49.13558367</v>
      </c>
      <c r="H90" s="8" t="n">
        <v>561.8915</v>
      </c>
      <c r="I90" s="6" t="inlineStr">
        <is>
          <t>ALTO</t>
        </is>
      </c>
      <c r="J90" s="6" t="inlineStr">
        <is>
          <t>sugarcane</t>
        </is>
      </c>
      <c r="K90" s="6" t="n">
        <v>8</v>
      </c>
    </row>
    <row r="91">
      <c r="A91" s="6" t="inlineStr">
        <is>
          <t>3135209</t>
        </is>
      </c>
      <c r="B91" s="6" t="inlineStr">
        <is>
          <t>3135209</t>
        </is>
      </c>
      <c r="C91" s="4" t="inlineStr">
        <is>
          <t>Montes Claros</t>
        </is>
      </c>
      <c r="D91" s="16" t="n">
        <v>65150</v>
      </c>
      <c r="E91" s="8" t="n">
        <v>6661.588</v>
      </c>
      <c r="F91" s="7" t="n">
        <v>-15.32042</v>
      </c>
      <c r="G91" s="7" t="n">
        <v>-45.20144355</v>
      </c>
      <c r="H91" s="8" t="n">
        <v>559.3854</v>
      </c>
      <c r="I91" s="6" t="inlineStr">
        <is>
          <t>ALTO</t>
        </is>
      </c>
      <c r="J91" s="6" t="inlineStr">
        <is>
          <t>swine</t>
        </is>
      </c>
      <c r="K91" s="6" t="n">
        <v>10</v>
      </c>
    </row>
    <row r="92">
      <c r="A92" s="6" t="inlineStr">
        <is>
          <t>3136702</t>
        </is>
      </c>
      <c r="B92" s="6" t="inlineStr">
        <is>
          <t>3136702</t>
        </is>
      </c>
      <c r="C92" s="4" t="inlineStr">
        <is>
          <t>Juíz de Fora</t>
        </is>
      </c>
      <c r="D92" s="16" t="n">
        <v>540756</v>
      </c>
      <c r="E92" s="8" t="n">
        <v>1435.749</v>
      </c>
      <c r="F92" s="7" t="n">
        <v>-21.759954</v>
      </c>
      <c r="G92" s="7" t="n">
        <v>-43.45201428</v>
      </c>
      <c r="H92" s="8" t="n">
        <v>553.9729</v>
      </c>
      <c r="I92" s="6" t="inlineStr">
        <is>
          <t>ALTO</t>
        </is>
      </c>
      <c r="J92" s="6" t="inlineStr">
        <is>
          <t>swine</t>
        </is>
      </c>
      <c r="K92" s="6" t="n">
        <v>10</v>
      </c>
    </row>
    <row r="93">
      <c r="A93" s="6" t="inlineStr">
        <is>
          <t>3145455</t>
        </is>
      </c>
      <c r="B93" s="6" t="inlineStr">
        <is>
          <t>3145455</t>
        </is>
      </c>
      <c r="C93" s="4" t="inlineStr">
        <is>
          <t>Montes Claros</t>
        </is>
      </c>
      <c r="D93" s="16" t="n">
        <v>5385</v>
      </c>
      <c r="E93" s="8" t="n">
        <v>2092.078</v>
      </c>
      <c r="F93" s="7" t="n">
        <v>-17.54832165</v>
      </c>
      <c r="G93" s="7" t="n">
        <v>-43.67384344</v>
      </c>
      <c r="H93" s="8" t="n">
        <v>549.4674</v>
      </c>
      <c r="I93" s="6" t="inlineStr">
        <is>
          <t>ALTO</t>
        </is>
      </c>
      <c r="J93" s="6" t="inlineStr">
        <is>
          <t>forestry</t>
        </is>
      </c>
      <c r="K93" s="6" t="n">
        <v>8</v>
      </c>
    </row>
    <row r="94">
      <c r="A94" s="6" t="inlineStr">
        <is>
          <t>3114303</t>
        </is>
      </c>
      <c r="B94" s="6" t="inlineStr">
        <is>
          <t>3114303</t>
        </is>
      </c>
      <c r="C94" s="4" t="inlineStr">
        <is>
          <t>Patos de Minas</t>
        </is>
      </c>
      <c r="D94" s="16" t="n">
        <v>29011</v>
      </c>
      <c r="E94" s="8" t="n">
        <v>1307.862</v>
      </c>
      <c r="F94" s="7" t="n">
        <v>-18.8773645</v>
      </c>
      <c r="G94" s="7" t="n">
        <v>-46.12574723</v>
      </c>
      <c r="H94" s="8" t="n">
        <v>548.2033</v>
      </c>
      <c r="I94" s="6" t="inlineStr">
        <is>
          <t>ALTO</t>
        </is>
      </c>
      <c r="J94" s="6" t="inlineStr">
        <is>
          <t>swine</t>
        </is>
      </c>
      <c r="K94" s="6" t="n">
        <v>10</v>
      </c>
    </row>
    <row r="95">
      <c r="A95" s="6" t="inlineStr">
        <is>
          <t>3104205</t>
        </is>
      </c>
      <c r="B95" s="6" t="inlineStr">
        <is>
          <t>3104205</t>
        </is>
      </c>
      <c r="C95" s="4" t="inlineStr">
        <is>
          <t>Divinópolis</t>
        </is>
      </c>
      <c r="D95" s="16" t="n">
        <v>41416</v>
      </c>
      <c r="E95" s="8" t="n">
        <v>509.873</v>
      </c>
      <c r="F95" s="7" t="n">
        <v>-20.235067</v>
      </c>
      <c r="G95" s="7" t="n">
        <v>-45.55102957</v>
      </c>
      <c r="H95" s="8" t="n">
        <v>543.6208</v>
      </c>
      <c r="I95" s="6" t="inlineStr">
        <is>
          <t>ALTO</t>
        </is>
      </c>
      <c r="J95" s="6" t="inlineStr">
        <is>
          <t>swine</t>
        </is>
      </c>
      <c r="K95" s="6" t="n">
        <v>9</v>
      </c>
    </row>
    <row r="96">
      <c r="A96" s="6" t="inlineStr">
        <is>
          <t>3132503</t>
        </is>
      </c>
      <c r="B96" s="6" t="inlineStr">
        <is>
          <t>3132503</t>
        </is>
      </c>
      <c r="C96" s="4" t="inlineStr">
        <is>
          <t>Teófilo Otoni</t>
        </is>
      </c>
      <c r="D96" s="16" t="n">
        <v>32948</v>
      </c>
      <c r="E96" s="8" t="n">
        <v>2735.665</v>
      </c>
      <c r="F96" s="7" t="n">
        <v>-17.8483515</v>
      </c>
      <c r="G96" s="7" t="n">
        <v>-42.901411</v>
      </c>
      <c r="H96" s="8" t="n">
        <v>538.8858</v>
      </c>
      <c r="I96" s="6" t="inlineStr">
        <is>
          <t>ALTO</t>
        </is>
      </c>
      <c r="J96" s="6" t="inlineStr">
        <is>
          <t>forestry</t>
        </is>
      </c>
      <c r="K96" s="6" t="n">
        <v>10</v>
      </c>
    </row>
    <row r="97">
      <c r="A97" s="6" t="inlineStr">
        <is>
          <t>3126604</t>
        </is>
      </c>
      <c r="B97" s="6" t="inlineStr">
        <is>
          <t>3126604</t>
        </is>
      </c>
      <c r="C97" s="4" t="inlineStr">
        <is>
          <t>Montes Claros</t>
        </is>
      </c>
      <c r="D97" s="16" t="n">
        <v>4503</v>
      </c>
      <c r="E97" s="8" t="n">
        <v>1576.128</v>
      </c>
      <c r="F97" s="7" t="n">
        <v>-17.4340495</v>
      </c>
      <c r="G97" s="7" t="n">
        <v>-44.25194584</v>
      </c>
      <c r="H97" s="8" t="n">
        <v>535.5363</v>
      </c>
      <c r="I97" s="6" t="inlineStr">
        <is>
          <t>ALTO</t>
        </is>
      </c>
      <c r="J97" s="6" t="inlineStr">
        <is>
          <t>forestry</t>
        </is>
      </c>
      <c r="K97" s="6" t="n">
        <v>10</v>
      </c>
    </row>
    <row r="98">
      <c r="A98" s="6" t="inlineStr">
        <is>
          <t>3137106</t>
        </is>
      </c>
      <c r="B98" s="6" t="inlineStr">
        <is>
          <t>3137106</t>
        </is>
      </c>
      <c r="C98" s="4" t="inlineStr">
        <is>
          <t>Patos de Minas</t>
        </is>
      </c>
      <c r="D98" s="16" t="n">
        <v>6631</v>
      </c>
      <c r="E98" s="8" t="n">
        <v>1474.562</v>
      </c>
      <c r="F98" s="7" t="n">
        <v>-18.0281355</v>
      </c>
      <c r="G98" s="7" t="n">
        <v>-46.71763894</v>
      </c>
      <c r="H98" s="8" t="n">
        <v>529.2782</v>
      </c>
      <c r="I98" s="6" t="inlineStr">
        <is>
          <t>ALTO</t>
        </is>
      </c>
      <c r="J98" s="6" t="inlineStr">
        <is>
          <t>swine</t>
        </is>
      </c>
      <c r="K98" s="6" t="n">
        <v>10</v>
      </c>
    </row>
    <row r="99">
      <c r="A99" s="6" t="inlineStr">
        <is>
          <t>3137502</t>
        </is>
      </c>
      <c r="B99" s="6" t="inlineStr">
        <is>
          <t>3137502</t>
        </is>
      </c>
      <c r="C99" s="4" t="inlineStr">
        <is>
          <t>Patos de Minas</t>
        </is>
      </c>
      <c r="D99" s="16" t="n">
        <v>18904</v>
      </c>
      <c r="E99" s="8" t="n">
        <v>840.92</v>
      </c>
      <c r="F99" s="7" t="n">
        <v>-18.760704</v>
      </c>
      <c r="G99" s="7" t="n">
        <v>-46.31264063</v>
      </c>
      <c r="H99" s="8" t="n">
        <v>520.5564000000001</v>
      </c>
      <c r="I99" s="6" t="inlineStr">
        <is>
          <t>ALTO</t>
        </is>
      </c>
      <c r="J99" s="6" t="inlineStr">
        <is>
          <t>swine</t>
        </is>
      </c>
      <c r="K99" s="6" t="n">
        <v>12</v>
      </c>
    </row>
    <row r="100">
      <c r="A100" s="6" t="inlineStr">
        <is>
          <t>3121209</t>
        </is>
      </c>
      <c r="B100" s="6" t="inlineStr">
        <is>
          <t>3121209</t>
        </is>
      </c>
      <c r="C100" s="4" t="inlineStr">
        <is>
          <t>Varginha</t>
        </is>
      </c>
      <c r="D100" s="16" t="n">
        <v>8393</v>
      </c>
      <c r="E100" s="8" t="n">
        <v>1378.423</v>
      </c>
      <c r="F100" s="7" t="n">
        <v>-20.368479</v>
      </c>
      <c r="G100" s="7" t="n">
        <v>-46.73386249</v>
      </c>
      <c r="H100" s="8" t="n">
        <v>514.4615</v>
      </c>
      <c r="I100" s="6" t="inlineStr">
        <is>
          <t>ALTO</t>
        </is>
      </c>
      <c r="J100" s="6" t="inlineStr">
        <is>
          <t>soybean</t>
        </is>
      </c>
      <c r="K100" s="6" t="n">
        <v>12</v>
      </c>
    </row>
    <row r="101">
      <c r="A101" s="6" t="inlineStr">
        <is>
          <t>3151503</t>
        </is>
      </c>
      <c r="B101" s="6" t="inlineStr">
        <is>
          <t>3151503</t>
        </is>
      </c>
      <c r="C101" s="4" t="inlineStr">
        <is>
          <t>Varginha</t>
        </is>
      </c>
      <c r="D101" s="16" t="n">
        <v>36062</v>
      </c>
      <c r="E101" s="8" t="n">
        <v>902.468</v>
      </c>
      <c r="F101" s="7" t="n">
        <v>-20.459096</v>
      </c>
      <c r="G101" s="7" t="n">
        <v>-46.05071135</v>
      </c>
      <c r="H101" s="8" t="n">
        <v>492.3291</v>
      </c>
      <c r="I101" s="6" t="inlineStr">
        <is>
          <t>MÉDIO</t>
        </is>
      </c>
      <c r="J101" s="6" t="inlineStr">
        <is>
          <t>corn</t>
        </is>
      </c>
      <c r="K101" s="6" t="n">
        <v>12</v>
      </c>
    </row>
    <row r="102">
      <c r="A102" s="6" t="inlineStr">
        <is>
          <t>3122306</t>
        </is>
      </c>
      <c r="B102" s="6" t="inlineStr">
        <is>
          <t>3122306</t>
        </is>
      </c>
      <c r="C102" s="4" t="inlineStr">
        <is>
          <t>Divinópolis</t>
        </is>
      </c>
      <c r="D102" s="16" t="n">
        <v>231091</v>
      </c>
      <c r="E102" s="8" t="n">
        <v>708.115</v>
      </c>
      <c r="F102" s="7" t="n">
        <v>-20.1137535</v>
      </c>
      <c r="G102" s="7" t="n">
        <v>-44.96376841</v>
      </c>
      <c r="H102" s="8" t="n">
        <v>468.0215</v>
      </c>
      <c r="I102" s="6" t="inlineStr">
        <is>
          <t>MÉDIO</t>
        </is>
      </c>
      <c r="J102" s="6" t="inlineStr">
        <is>
          <t>swine</t>
        </is>
      </c>
      <c r="K102" s="6" t="n">
        <v>9</v>
      </c>
    </row>
    <row r="103">
      <c r="A103" s="6" t="inlineStr">
        <is>
          <t>3115805</t>
        </is>
      </c>
      <c r="B103" s="6" t="inlineStr">
        <is>
          <t>3115805</t>
        </is>
      </c>
      <c r="C103" s="4" t="inlineStr">
        <is>
          <t>Uberlândia</t>
        </is>
      </c>
      <c r="D103" s="16" t="n">
        <v>10207</v>
      </c>
      <c r="E103" s="8" t="n">
        <v>322.385</v>
      </c>
      <c r="F103" s="7" t="n">
        <v>-18.65489715</v>
      </c>
      <c r="G103" s="7" t="n">
        <v>-49.15765641</v>
      </c>
      <c r="H103" s="8" t="n">
        <v>465.956</v>
      </c>
      <c r="I103" s="6" t="inlineStr">
        <is>
          <t>MÉDIO</t>
        </is>
      </c>
      <c r="J103" s="6" t="inlineStr">
        <is>
          <t>sugarcane</t>
        </is>
      </c>
      <c r="K103" s="6" t="n">
        <v>9</v>
      </c>
    </row>
    <row r="104">
      <c r="A104" s="6" t="inlineStr">
        <is>
          <t>3169356</t>
        </is>
      </c>
      <c r="B104" s="6" t="inlineStr">
        <is>
          <t>3169356</t>
        </is>
      </c>
      <c r="C104" s="4" t="inlineStr">
        <is>
          <t>Belo Horizonte</t>
        </is>
      </c>
      <c r="D104" s="16" t="n">
        <v>28895</v>
      </c>
      <c r="E104" s="8" t="n">
        <v>2678.254</v>
      </c>
      <c r="F104" s="7" t="n">
        <v>-18.299155</v>
      </c>
      <c r="G104" s="7" t="n">
        <v>-45.06192911</v>
      </c>
      <c r="H104" s="8" t="n">
        <v>465.3905</v>
      </c>
      <c r="I104" s="6" t="inlineStr">
        <is>
          <t>MÉDIO</t>
        </is>
      </c>
      <c r="J104" s="6" t="inlineStr">
        <is>
          <t>swine</t>
        </is>
      </c>
      <c r="K104" s="6" t="n">
        <v>10</v>
      </c>
    </row>
    <row r="105">
      <c r="A105" s="6" t="inlineStr">
        <is>
          <t>3143302</t>
        </is>
      </c>
      <c r="B105" s="6" t="inlineStr">
        <is>
          <t>3143302</t>
        </is>
      </c>
      <c r="C105" s="4" t="inlineStr">
        <is>
          <t>Montes Claros</t>
        </is>
      </c>
      <c r="D105" s="16" t="n">
        <v>414240</v>
      </c>
      <c r="E105" s="8" t="n">
        <v>3589.811</v>
      </c>
      <c r="F105" s="7" t="n">
        <v>-16.6149075</v>
      </c>
      <c r="G105" s="7" t="n">
        <v>-43.88943812</v>
      </c>
      <c r="H105" s="8" t="n">
        <v>464.3562</v>
      </c>
      <c r="I105" s="6" t="inlineStr">
        <is>
          <t>MÉDIO</t>
        </is>
      </c>
      <c r="J105" s="6" t="inlineStr">
        <is>
          <t>swine</t>
        </is>
      </c>
      <c r="K105" s="6" t="n">
        <v>10</v>
      </c>
    </row>
    <row r="106">
      <c r="A106" s="6" t="inlineStr">
        <is>
          <t>3139102</t>
        </is>
      </c>
      <c r="B106" s="6" t="inlineStr">
        <is>
          <t>3139102</t>
        </is>
      </c>
      <c r="C106" s="4" t="inlineStr">
        <is>
          <t>Barbacena</t>
        </is>
      </c>
      <c r="D106" s="16" t="n">
        <v>5191</v>
      </c>
      <c r="E106" s="8" t="n">
        <v>492.909</v>
      </c>
      <c r="F106" s="7" t="n">
        <v>-21.491491</v>
      </c>
      <c r="G106" s="7" t="n">
        <v>-44.36340652</v>
      </c>
      <c r="H106" s="8" t="n">
        <v>453.9561</v>
      </c>
      <c r="I106" s="6" t="inlineStr">
        <is>
          <t>MÉDIO</t>
        </is>
      </c>
      <c r="J106" s="6" t="inlineStr">
        <is>
          <t>corn</t>
        </is>
      </c>
      <c r="K106" s="6" t="n">
        <v>9</v>
      </c>
    </row>
    <row r="107">
      <c r="A107" s="6" t="inlineStr">
        <is>
          <t>3137536</t>
        </is>
      </c>
      <c r="B107" s="6" t="inlineStr">
        <is>
          <t>3137536</t>
        </is>
      </c>
      <c r="C107" s="4" t="inlineStr">
        <is>
          <t>Patos de Minas</t>
        </is>
      </c>
      <c r="D107" s="16" t="n">
        <v>8969</v>
      </c>
      <c r="E107" s="8" t="n">
        <v>1236.301</v>
      </c>
      <c r="F107" s="7" t="n">
        <v>-17.7501495</v>
      </c>
      <c r="G107" s="7" t="n">
        <v>-46.45725828</v>
      </c>
      <c r="H107" s="8" t="n">
        <v>449.1583</v>
      </c>
      <c r="I107" s="6" t="inlineStr">
        <is>
          <t>MÉDIO</t>
        </is>
      </c>
      <c r="J107" s="6" t="inlineStr">
        <is>
          <t>swine</t>
        </is>
      </c>
      <c r="K107" s="6" t="n">
        <v>11</v>
      </c>
    </row>
    <row r="108">
      <c r="A108" s="6" t="inlineStr">
        <is>
          <t>3170750</t>
        </is>
      </c>
      <c r="B108" s="6" t="inlineStr">
        <is>
          <t>3170750</t>
        </is>
      </c>
      <c r="C108" s="4" t="inlineStr">
        <is>
          <t>Patos de Minas</t>
        </is>
      </c>
      <c r="D108" s="16" t="n">
        <v>6969</v>
      </c>
      <c r="E108" s="8" t="n">
        <v>651.505</v>
      </c>
      <c r="F108" s="7" t="n">
        <v>-18.461054</v>
      </c>
      <c r="G108" s="7" t="n">
        <v>-45.94673397</v>
      </c>
      <c r="H108" s="8" t="n">
        <v>435.9899</v>
      </c>
      <c r="I108" s="6" t="inlineStr">
        <is>
          <t>MÉDIO</t>
        </is>
      </c>
      <c r="J108" s="6" t="inlineStr">
        <is>
          <t>swine</t>
        </is>
      </c>
      <c r="K108" s="6" t="n">
        <v>11</v>
      </c>
    </row>
    <row r="109">
      <c r="A109" s="6" t="inlineStr">
        <is>
          <t>3164308</t>
        </is>
      </c>
      <c r="B109" s="6" t="inlineStr">
        <is>
          <t>3164308</t>
        </is>
      </c>
      <c r="C109" s="4" t="inlineStr">
        <is>
          <t>Varginha</t>
        </is>
      </c>
      <c r="D109" s="16" t="n">
        <v>7129</v>
      </c>
      <c r="E109" s="8" t="n">
        <v>2098.867</v>
      </c>
      <c r="F109" s="7" t="n">
        <v>-20.180366</v>
      </c>
      <c r="G109" s="7" t="n">
        <v>-46.54845892</v>
      </c>
      <c r="H109" s="8" t="n">
        <v>433.996</v>
      </c>
      <c r="I109" s="6" t="inlineStr">
        <is>
          <t>MÉDIO</t>
        </is>
      </c>
      <c r="J109" s="6" t="inlineStr">
        <is>
          <t>swine</t>
        </is>
      </c>
      <c r="K109" s="6" t="n">
        <v>11</v>
      </c>
    </row>
    <row r="110">
      <c r="A110" s="6" t="inlineStr">
        <is>
          <t>3148608</t>
        </is>
      </c>
      <c r="B110" s="6" t="inlineStr">
        <is>
          <t>3148608</t>
        </is>
      </c>
      <c r="C110" s="4" t="inlineStr">
        <is>
          <t>Governador Valadares</t>
        </is>
      </c>
      <c r="D110" s="16" t="n">
        <v>17446</v>
      </c>
      <c r="E110" s="8" t="n">
        <v>996.646</v>
      </c>
      <c r="F110" s="7" t="n">
        <v>-18.538704</v>
      </c>
      <c r="G110" s="7" t="n">
        <v>-42.52860271</v>
      </c>
      <c r="H110" s="8" t="n">
        <v>422.4394</v>
      </c>
      <c r="I110" s="6" t="inlineStr">
        <is>
          <t>MÉDIO</t>
        </is>
      </c>
      <c r="J110" s="6" t="inlineStr">
        <is>
          <t>forestry</t>
        </is>
      </c>
      <c r="K110" s="6" t="n">
        <v>9</v>
      </c>
    </row>
    <row r="111">
      <c r="A111" s="6" t="inlineStr">
        <is>
          <t>3107307</t>
        </is>
      </c>
      <c r="B111" s="6" t="inlineStr">
        <is>
          <t>3107307</t>
        </is>
      </c>
      <c r="C111" s="4" t="inlineStr">
        <is>
          <t>Montes Claros</t>
        </is>
      </c>
      <c r="D111" s="16" t="n">
        <v>48032</v>
      </c>
      <c r="E111" s="8" t="n">
        <v>3206.757</v>
      </c>
      <c r="F111" s="7" t="n">
        <v>-17.388038</v>
      </c>
      <c r="G111" s="7" t="n">
        <v>-43.84004775</v>
      </c>
      <c r="H111" s="8" t="n">
        <v>413.1807</v>
      </c>
      <c r="I111" s="6" t="inlineStr">
        <is>
          <t>MÉDIO</t>
        </is>
      </c>
      <c r="J111" s="6" t="inlineStr">
        <is>
          <t>swine</t>
        </is>
      </c>
      <c r="K111" s="6" t="n">
        <v>10</v>
      </c>
    </row>
    <row r="112">
      <c r="A112" s="6" t="inlineStr">
        <is>
          <t>3124708</t>
        </is>
      </c>
      <c r="B112" s="6" t="inlineStr">
        <is>
          <t>3124708</t>
        </is>
      </c>
      <c r="C112" s="4" t="inlineStr">
        <is>
          <t>Divinópolis</t>
        </is>
      </c>
      <c r="D112" s="16" t="n">
        <v>2772</v>
      </c>
      <c r="E112" s="8" t="n">
        <v>635.981</v>
      </c>
      <c r="F112" s="7" t="n">
        <v>-19.5737005</v>
      </c>
      <c r="G112" s="7" t="n">
        <v>-45.82034582</v>
      </c>
      <c r="H112" s="8" t="n">
        <v>410.4485</v>
      </c>
      <c r="I112" s="6" t="inlineStr">
        <is>
          <t>MÉDIO</t>
        </is>
      </c>
      <c r="J112" s="6" t="inlineStr">
        <is>
          <t>swine</t>
        </is>
      </c>
      <c r="K112" s="6" t="n">
        <v>10</v>
      </c>
    </row>
    <row r="113">
      <c r="A113" s="6" t="inlineStr">
        <is>
          <t>3114402</t>
        </is>
      </c>
      <c r="B113" s="6" t="inlineStr">
        <is>
          <t>3114402</t>
        </is>
      </c>
      <c r="C113" s="4" t="inlineStr">
        <is>
          <t>Varginha</t>
        </is>
      </c>
      <c r="D113" s="16" t="n">
        <v>20954</v>
      </c>
      <c r="E113" s="8" t="n">
        <v>1065.685</v>
      </c>
      <c r="F113" s="7" t="n">
        <v>-20.994585</v>
      </c>
      <c r="G113" s="7" t="n">
        <v>-46.14021953</v>
      </c>
      <c r="H113" s="8" t="n">
        <v>404.4291</v>
      </c>
      <c r="I113" s="6" t="inlineStr">
        <is>
          <t>MÉDIO</t>
        </is>
      </c>
      <c r="J113" s="6" t="inlineStr">
        <is>
          <t>soybean</t>
        </is>
      </c>
      <c r="K113" s="6" t="n">
        <v>12</v>
      </c>
    </row>
    <row r="114">
      <c r="A114" s="6" t="inlineStr">
        <is>
          <t>3144300</t>
        </is>
      </c>
      <c r="B114" s="6" t="inlineStr">
        <is>
          <t>3144300</t>
        </is>
      </c>
      <c r="C114" s="4" t="inlineStr">
        <is>
          <t>Teófilo Otoni</t>
        </is>
      </c>
      <c r="D114" s="16" t="n">
        <v>35038</v>
      </c>
      <c r="E114" s="8" t="n">
        <v>1518.166</v>
      </c>
      <c r="F114" s="7" t="n">
        <v>-17.735598</v>
      </c>
      <c r="G114" s="7" t="n">
        <v>-40.44475394</v>
      </c>
      <c r="H114" s="8" t="n">
        <v>404.1631</v>
      </c>
      <c r="I114" s="6" t="inlineStr">
        <is>
          <t>MÉDIO</t>
        </is>
      </c>
      <c r="J114" s="6" t="inlineStr">
        <is>
          <t>forestry</t>
        </is>
      </c>
      <c r="K114" s="6" t="n">
        <v>8</v>
      </c>
    </row>
    <row r="115">
      <c r="A115" s="6" t="inlineStr">
        <is>
          <t>3155603</t>
        </is>
      </c>
      <c r="B115" s="6" t="inlineStr">
        <is>
          <t>3155603</t>
        </is>
      </c>
      <c r="C115" s="4" t="inlineStr">
        <is>
          <t>Montes Claros</t>
        </is>
      </c>
      <c r="D115" s="16" t="n">
        <v>28271</v>
      </c>
      <c r="E115" s="8" t="n">
        <v>3117.675</v>
      </c>
      <c r="F115" s="7" t="n">
        <v>-15.7739915</v>
      </c>
      <c r="G115" s="7" t="n">
        <v>-42.49882089</v>
      </c>
      <c r="H115" s="8" t="n">
        <v>403.4876</v>
      </c>
      <c r="I115" s="6" t="inlineStr">
        <is>
          <t>MÉDIO</t>
        </is>
      </c>
      <c r="J115" s="6" t="inlineStr">
        <is>
          <t>swine</t>
        </is>
      </c>
      <c r="K115" s="6" t="n">
        <v>10</v>
      </c>
    </row>
    <row r="116">
      <c r="A116" s="6" t="inlineStr">
        <is>
          <t>3121605</t>
        </is>
      </c>
      <c r="B116" s="6" t="inlineStr">
        <is>
          <t>3121605</t>
        </is>
      </c>
      <c r="C116" s="4" t="inlineStr">
        <is>
          <t>Teófilo Otoni</t>
        </is>
      </c>
      <c r="D116" s="16" t="n">
        <v>47702</v>
      </c>
      <c r="E116" s="8" t="n">
        <v>3891.659</v>
      </c>
      <c r="F116" s="7" t="n">
        <v>-17.912781</v>
      </c>
      <c r="G116" s="7" t="n">
        <v>-43.63691062</v>
      </c>
      <c r="H116" s="8" t="n">
        <v>402.5685</v>
      </c>
      <c r="I116" s="6" t="inlineStr">
        <is>
          <t>MÉDIO</t>
        </is>
      </c>
      <c r="J116" s="6" t="inlineStr">
        <is>
          <t>swine</t>
        </is>
      </c>
      <c r="K116" s="6" t="n">
        <v>10</v>
      </c>
    </row>
    <row r="117">
      <c r="A117" s="6" t="inlineStr">
        <is>
          <t>3103009</t>
        </is>
      </c>
      <c r="B117" s="6" t="inlineStr">
        <is>
          <t>3103009</t>
        </is>
      </c>
      <c r="C117" s="4" t="inlineStr">
        <is>
          <t>Ipatinga</t>
        </is>
      </c>
      <c r="D117" s="16" t="n">
        <v>9219</v>
      </c>
      <c r="E117" s="8" t="n">
        <v>787.061</v>
      </c>
      <c r="F117" s="7" t="n">
        <v>-19.5783355</v>
      </c>
      <c r="G117" s="7" t="n">
        <v>-42.86592165</v>
      </c>
      <c r="H117" s="8" t="n">
        <v>386.8431</v>
      </c>
      <c r="I117" s="6" t="inlineStr">
        <is>
          <t>MÉDIO</t>
        </is>
      </c>
      <c r="J117" s="6" t="inlineStr">
        <is>
          <t>forestry</t>
        </is>
      </c>
      <c r="K117" s="6" t="n">
        <v>9</v>
      </c>
    </row>
    <row r="118">
      <c r="A118" s="6" t="inlineStr">
        <is>
          <t>3116605</t>
        </is>
      </c>
      <c r="B118" s="6" t="inlineStr">
        <is>
          <t>3116605</t>
        </is>
      </c>
      <c r="C118" s="4" t="inlineStr">
        <is>
          <t>Divinópolis</t>
        </is>
      </c>
      <c r="D118" s="16" t="n">
        <v>30159</v>
      </c>
      <c r="E118" s="8" t="n">
        <v>630.706</v>
      </c>
      <c r="F118" s="7" t="n">
        <v>-20.4024855</v>
      </c>
      <c r="G118" s="7" t="n">
        <v>-44.76072069</v>
      </c>
      <c r="H118" s="8" t="n">
        <v>385.868</v>
      </c>
      <c r="I118" s="6" t="inlineStr">
        <is>
          <t>MÉDIO</t>
        </is>
      </c>
      <c r="J118" s="6" t="inlineStr">
        <is>
          <t>swine</t>
        </is>
      </c>
      <c r="K118" s="6" t="n">
        <v>11</v>
      </c>
    </row>
    <row r="119">
      <c r="A119" s="6" t="inlineStr">
        <is>
          <t>3119807</t>
        </is>
      </c>
      <c r="B119" s="6" t="inlineStr">
        <is>
          <t>3119807</t>
        </is>
      </c>
      <c r="C119" s="4" t="inlineStr">
        <is>
          <t>Divinópolis</t>
        </is>
      </c>
      <c r="D119" s="16" t="n">
        <v>2960</v>
      </c>
      <c r="E119" s="8" t="n">
        <v>657.425</v>
      </c>
      <c r="F119" s="7" t="n">
        <v>-19.760868</v>
      </c>
      <c r="G119" s="7" t="n">
        <v>-46.00212834</v>
      </c>
      <c r="H119" s="8" t="n">
        <v>382.2739</v>
      </c>
      <c r="I119" s="6" t="inlineStr">
        <is>
          <t>MÉDIO</t>
        </is>
      </c>
      <c r="J119" s="6" t="inlineStr">
        <is>
          <t>swine</t>
        </is>
      </c>
      <c r="K119" s="6" t="n">
        <v>11</v>
      </c>
    </row>
    <row r="120">
      <c r="A120" s="6" t="inlineStr">
        <is>
          <t>3164704</t>
        </is>
      </c>
      <c r="B120" s="6" t="inlineStr">
        <is>
          <t>3164704</t>
        </is>
      </c>
      <c r="C120" s="4" t="inlineStr">
        <is>
          <t>Varginha</t>
        </is>
      </c>
      <c r="D120" s="16" t="n">
        <v>71796</v>
      </c>
      <c r="E120" s="8" t="n">
        <v>814.925</v>
      </c>
      <c r="F120" s="7" t="n">
        <v>-20.9022735</v>
      </c>
      <c r="G120" s="7" t="n">
        <v>-47.04434765</v>
      </c>
      <c r="H120" s="8" t="n">
        <v>381.0684</v>
      </c>
      <c r="I120" s="6" t="inlineStr">
        <is>
          <t>MÉDIO</t>
        </is>
      </c>
      <c r="J120" s="6" t="inlineStr">
        <is>
          <t>sugarcane</t>
        </is>
      </c>
      <c r="K120" s="6" t="n">
        <v>12</v>
      </c>
    </row>
    <row r="121">
      <c r="A121" s="6" t="inlineStr">
        <is>
          <t>3150505</t>
        </is>
      </c>
      <c r="B121" s="6" t="inlineStr">
        <is>
          <t>3150505</t>
        </is>
      </c>
      <c r="C121" s="4" t="inlineStr">
        <is>
          <t>Divinópolis</t>
        </is>
      </c>
      <c r="D121" s="16" t="n">
        <v>8563</v>
      </c>
      <c r="E121" s="8" t="n">
        <v>414.969</v>
      </c>
      <c r="F121" s="7" t="n">
        <v>-20.514072</v>
      </c>
      <c r="G121" s="7" t="n">
        <v>-45.80149116</v>
      </c>
      <c r="H121" s="8" t="n">
        <v>376.4044</v>
      </c>
      <c r="I121" s="6" t="inlineStr">
        <is>
          <t>MÉDIO</t>
        </is>
      </c>
      <c r="J121" s="6" t="inlineStr">
        <is>
          <t>swine</t>
        </is>
      </c>
      <c r="K121" s="6" t="n">
        <v>10</v>
      </c>
    </row>
    <row r="122">
      <c r="A122" s="6" t="inlineStr">
        <is>
          <t>3107109</t>
        </is>
      </c>
      <c r="B122" s="6" t="inlineStr">
        <is>
          <t>3107109</t>
        </is>
      </c>
      <c r="C122" s="4" t="inlineStr">
        <is>
          <t>Varginha</t>
        </is>
      </c>
      <c r="D122" s="16" t="n">
        <v>39848</v>
      </c>
      <c r="E122" s="8" t="n">
        <v>860.669</v>
      </c>
      <c r="F122" s="7" t="n">
        <v>-21.0576795</v>
      </c>
      <c r="G122" s="7" t="n">
        <v>-45.63471808</v>
      </c>
      <c r="H122" s="8" t="n">
        <v>374.9763</v>
      </c>
      <c r="I122" s="6" t="inlineStr">
        <is>
          <t>MÉDIO</t>
        </is>
      </c>
      <c r="J122" s="6" t="inlineStr">
        <is>
          <t>corn</t>
        </is>
      </c>
      <c r="K122" s="6" t="n">
        <v>12</v>
      </c>
    </row>
    <row r="123">
      <c r="A123" s="6" t="inlineStr">
        <is>
          <t>3169703</t>
        </is>
      </c>
      <c r="B123" s="6" t="inlineStr">
        <is>
          <t>3169703</t>
        </is>
      </c>
      <c r="C123" s="4" t="inlineStr">
        <is>
          <t>Teófilo Otoni</t>
        </is>
      </c>
      <c r="D123" s="16" t="n">
        <v>20000</v>
      </c>
      <c r="E123" s="8" t="n">
        <v>1153.111</v>
      </c>
      <c r="F123" s="7" t="n">
        <v>-17.258957</v>
      </c>
      <c r="G123" s="7" t="n">
        <v>-42.88413577</v>
      </c>
      <c r="H123" s="8" t="n">
        <v>372.3179</v>
      </c>
      <c r="I123" s="6" t="inlineStr">
        <is>
          <t>MÉDIO</t>
        </is>
      </c>
      <c r="J123" s="6" t="inlineStr">
        <is>
          <t>forestry</t>
        </is>
      </c>
      <c r="K123" s="6" t="n">
        <v>10</v>
      </c>
    </row>
    <row r="124">
      <c r="A124" s="6" t="inlineStr">
        <is>
          <t>3162104</t>
        </is>
      </c>
      <c r="B124" s="6" t="inlineStr">
        <is>
          <t>3162104</t>
        </is>
      </c>
      <c r="C124" s="4" t="inlineStr">
        <is>
          <t>Patos de Minas</t>
        </is>
      </c>
      <c r="D124" s="16" t="n">
        <v>40910</v>
      </c>
      <c r="E124" s="8" t="n">
        <v>866.087</v>
      </c>
      <c r="F124" s="7" t="n">
        <v>-19.36636905</v>
      </c>
      <c r="G124" s="7" t="n">
        <v>-45.99866773</v>
      </c>
      <c r="H124" s="8" t="n">
        <v>367.5607</v>
      </c>
      <c r="I124" s="6" t="inlineStr">
        <is>
          <t>MÉDIO</t>
        </is>
      </c>
      <c r="J124" s="6" t="inlineStr">
        <is>
          <t>swine</t>
        </is>
      </c>
      <c r="K124" s="6" t="n">
        <v>11</v>
      </c>
    </row>
    <row r="125">
      <c r="A125" s="6" t="inlineStr">
        <is>
          <t>3128006</t>
        </is>
      </c>
      <c r="B125" s="6" t="inlineStr">
        <is>
          <t>3128006</t>
        </is>
      </c>
      <c r="C125" s="4" t="inlineStr">
        <is>
          <t>Governador Valadares</t>
        </is>
      </c>
      <c r="D125" s="16" t="n">
        <v>32244</v>
      </c>
      <c r="E125" s="8" t="n">
        <v>1075.124</v>
      </c>
      <c r="F125" s="7" t="n">
        <v>-18.855908</v>
      </c>
      <c r="G125" s="7" t="n">
        <v>-42.86390232</v>
      </c>
      <c r="H125" s="8" t="n">
        <v>361.311</v>
      </c>
      <c r="I125" s="6" t="inlineStr">
        <is>
          <t>MÉDIO</t>
        </is>
      </c>
      <c r="J125" s="6" t="inlineStr">
        <is>
          <t>forestry</t>
        </is>
      </c>
      <c r="K125" s="6" t="n">
        <v>9</v>
      </c>
    </row>
    <row r="126">
      <c r="A126" s="6" t="inlineStr">
        <is>
          <t>3102803</t>
        </is>
      </c>
      <c r="B126" s="6" t="inlineStr">
        <is>
          <t>3102803</t>
        </is>
      </c>
      <c r="C126" s="4" t="inlineStr">
        <is>
          <t>Juíz de Fora</t>
        </is>
      </c>
      <c r="D126" s="16" t="n">
        <v>11927</v>
      </c>
      <c r="E126" s="8" t="n">
        <v>1005.285</v>
      </c>
      <c r="F126" s="7" t="n">
        <v>-21.734398</v>
      </c>
      <c r="G126" s="7" t="n">
        <v>-44.25278783</v>
      </c>
      <c r="H126" s="8" t="n">
        <v>355.54</v>
      </c>
      <c r="I126" s="6" t="inlineStr">
        <is>
          <t>MÉDIO</t>
        </is>
      </c>
      <c r="J126" s="6" t="inlineStr">
        <is>
          <t>swine</t>
        </is>
      </c>
      <c r="K126" s="6" t="n">
        <v>11</v>
      </c>
    </row>
    <row r="127">
      <c r="A127" s="6" t="inlineStr">
        <is>
          <t>3113503</t>
        </is>
      </c>
      <c r="B127" s="6" t="inlineStr">
        <is>
          <t>3113503</t>
        </is>
      </c>
      <c r="C127" s="4" t="inlineStr">
        <is>
          <t>Teófilo Otoni</t>
        </is>
      </c>
      <c r="D127" s="16" t="n">
        <v>8512</v>
      </c>
      <c r="E127" s="8" t="n">
        <v>1456.095</v>
      </c>
      <c r="F127" s="7" t="n">
        <v>-17.512547</v>
      </c>
      <c r="G127" s="7" t="n">
        <v>-43.04668942</v>
      </c>
      <c r="H127" s="8" t="n">
        <v>354.5445</v>
      </c>
      <c r="I127" s="6" t="inlineStr">
        <is>
          <t>MÉDIO</t>
        </is>
      </c>
      <c r="J127" s="6" t="inlineStr">
        <is>
          <t>forestry</t>
        </is>
      </c>
      <c r="K127" s="6" t="n">
        <v>10</v>
      </c>
    </row>
    <row r="128">
      <c r="A128" s="6" t="inlineStr">
        <is>
          <t>3146404</t>
        </is>
      </c>
      <c r="B128" s="6" t="inlineStr">
        <is>
          <t>3146404</t>
        </is>
      </c>
      <c r="C128" s="4" t="inlineStr">
        <is>
          <t>Divinópolis</t>
        </is>
      </c>
      <c r="D128" s="16" t="n">
        <v>4224</v>
      </c>
      <c r="E128" s="8" t="n">
        <v>637.309</v>
      </c>
      <c r="F128" s="7" t="n">
        <v>-18.90336</v>
      </c>
      <c r="G128" s="7" t="n">
        <v>-45.56533686</v>
      </c>
      <c r="H128" s="8" t="n">
        <v>352.6501</v>
      </c>
      <c r="I128" s="6" t="inlineStr">
        <is>
          <t>MÉDIO</t>
        </is>
      </c>
      <c r="J128" s="6" t="inlineStr">
        <is>
          <t>swine</t>
        </is>
      </c>
      <c r="K128" s="6" t="n">
        <v>10</v>
      </c>
    </row>
    <row r="129">
      <c r="A129" s="6" t="inlineStr">
        <is>
          <t>3170800</t>
        </is>
      </c>
      <c r="B129" s="6" t="inlineStr">
        <is>
          <t>3170800</t>
        </is>
      </c>
      <c r="C129" s="4" t="inlineStr">
        <is>
          <t>Montes Claros</t>
        </is>
      </c>
      <c r="D129" s="16" t="n">
        <v>33744</v>
      </c>
      <c r="E129" s="8" t="n">
        <v>2220.279</v>
      </c>
      <c r="F129" s="7" t="n">
        <v>-17.4170699</v>
      </c>
      <c r="G129" s="7" t="n">
        <v>-44.62902415</v>
      </c>
      <c r="H129" s="8" t="n">
        <v>351.351</v>
      </c>
      <c r="I129" s="6" t="inlineStr">
        <is>
          <t>MÉDIO</t>
        </is>
      </c>
      <c r="J129" s="6" t="inlineStr">
        <is>
          <t>swine</t>
        </is>
      </c>
      <c r="K129" s="6" t="n">
        <v>11</v>
      </c>
    </row>
    <row r="130">
      <c r="A130" s="6" t="inlineStr">
        <is>
          <t>3114600</t>
        </is>
      </c>
      <c r="B130" s="6" t="inlineStr">
        <is>
          <t>3114600</t>
        </is>
      </c>
      <c r="C130" s="4" t="inlineStr">
        <is>
          <t>Varginha</t>
        </is>
      </c>
      <c r="D130" s="16" t="n">
        <v>4049</v>
      </c>
      <c r="E130" s="8" t="n">
        <v>727.894</v>
      </c>
      <c r="F130" s="7" t="n">
        <v>-21.4760305</v>
      </c>
      <c r="G130" s="7" t="n">
        <v>-44.61057953</v>
      </c>
      <c r="H130" s="8" t="n">
        <v>350.4653</v>
      </c>
      <c r="I130" s="6" t="inlineStr">
        <is>
          <t>MÉDIO</t>
        </is>
      </c>
      <c r="J130" s="6" t="inlineStr">
        <is>
          <t>forestry</t>
        </is>
      </c>
      <c r="K130" s="6" t="n">
        <v>11</v>
      </c>
    </row>
    <row r="131">
      <c r="A131" s="6" t="inlineStr">
        <is>
          <t>3151404</t>
        </is>
      </c>
      <c r="B131" s="6" t="inlineStr">
        <is>
          <t>3151404</t>
        </is>
      </c>
      <c r="C131" s="4" t="inlineStr">
        <is>
          <t>Divinópolis</t>
        </is>
      </c>
      <c r="D131" s="16" t="n">
        <v>26685</v>
      </c>
      <c r="E131" s="8" t="n">
        <v>569.636</v>
      </c>
      <c r="F131" s="7" t="n">
        <v>-19.5887975</v>
      </c>
      <c r="G131" s="7" t="n">
        <v>-44.87563465</v>
      </c>
      <c r="H131" s="8" t="n">
        <v>348.0398</v>
      </c>
      <c r="I131" s="6" t="inlineStr">
        <is>
          <t>MÉDIO</t>
        </is>
      </c>
      <c r="J131" s="6" t="inlineStr">
        <is>
          <t>swine</t>
        </is>
      </c>
      <c r="K131" s="6" t="n">
        <v>9</v>
      </c>
    </row>
    <row r="132">
      <c r="A132" s="6" t="inlineStr">
        <is>
          <t>3144003</t>
        </is>
      </c>
      <c r="B132" s="6" t="inlineStr">
        <is>
          <t>3144003</t>
        </is>
      </c>
      <c r="C132" s="4" t="inlineStr">
        <is>
          <t>Juíz de Fora</t>
        </is>
      </c>
      <c r="D132" s="16" t="n">
        <v>27635</v>
      </c>
      <c r="E132" s="8" t="n">
        <v>1250.823</v>
      </c>
      <c r="F132" s="7" t="n">
        <v>-19.9320025</v>
      </c>
      <c r="G132" s="7" t="n">
        <v>-41.44670982</v>
      </c>
      <c r="H132" s="8" t="n">
        <v>335.0616</v>
      </c>
      <c r="I132" s="6" t="inlineStr">
        <is>
          <t>MÉDIO</t>
        </is>
      </c>
      <c r="J132" s="6" t="inlineStr">
        <is>
          <t>swine</t>
        </is>
      </c>
      <c r="K132" s="6" t="n">
        <v>10</v>
      </c>
    </row>
    <row r="133">
      <c r="A133" s="6" t="inlineStr">
        <is>
          <t>3141801</t>
        </is>
      </c>
      <c r="B133" s="6" t="inlineStr">
        <is>
          <t>3141801</t>
        </is>
      </c>
      <c r="C133" s="4" t="inlineStr">
        <is>
          <t>Teófilo Otoni</t>
        </is>
      </c>
      <c r="D133" s="16" t="n">
        <v>24405</v>
      </c>
      <c r="E133" s="8" t="n">
        <v>1812.398</v>
      </c>
      <c r="F133" s="7" t="n">
        <v>-17.355109</v>
      </c>
      <c r="G133" s="7" t="n">
        <v>-42.38174754</v>
      </c>
      <c r="H133" s="8" t="n">
        <v>332.9168</v>
      </c>
      <c r="I133" s="6" t="inlineStr">
        <is>
          <t>MÉDIO</t>
        </is>
      </c>
      <c r="J133" s="6" t="inlineStr">
        <is>
          <t>forestry</t>
        </is>
      </c>
      <c r="K133" s="6" t="n">
        <v>10</v>
      </c>
    </row>
    <row r="134">
      <c r="A134" s="6" t="inlineStr">
        <is>
          <t>3162708</t>
        </is>
      </c>
      <c r="B134" s="6" t="inlineStr">
        <is>
          <t>3162708</t>
        </is>
      </c>
      <c r="C134" s="4" t="inlineStr">
        <is>
          <t>Montes Claros</t>
        </is>
      </c>
      <c r="D134" s="16" t="n">
        <v>23910</v>
      </c>
      <c r="E134" s="8" t="n">
        <v>1925.575</v>
      </c>
      <c r="F134" s="7" t="n">
        <v>-15.3601014</v>
      </c>
      <c r="G134" s="7" t="n">
        <v>-42.04697959</v>
      </c>
      <c r="H134" s="8" t="n">
        <v>331.331</v>
      </c>
      <c r="I134" s="6" t="inlineStr">
        <is>
          <t>MÉDIO</t>
        </is>
      </c>
      <c r="J134" s="6" t="inlineStr">
        <is>
          <t>forestry</t>
        </is>
      </c>
      <c r="K134" s="6" t="n">
        <v>10</v>
      </c>
    </row>
    <row r="135">
      <c r="A135" s="6" t="inlineStr">
        <is>
          <t>3100104</t>
        </is>
      </c>
      <c r="B135" s="6" t="inlineStr">
        <is>
          <t>3100104</t>
        </is>
      </c>
      <c r="C135" s="4" t="inlineStr">
        <is>
          <t>Uberlândia</t>
        </is>
      </c>
      <c r="D135" s="16" t="n">
        <v>6272</v>
      </c>
      <c r="E135" s="8" t="n">
        <v>880.461</v>
      </c>
      <c r="F135" s="7" t="n">
        <v>-18.3733795</v>
      </c>
      <c r="G135" s="7" t="n">
        <v>-47.48866985</v>
      </c>
      <c r="H135" s="8" t="n">
        <v>329.0967</v>
      </c>
      <c r="I135" s="6" t="inlineStr">
        <is>
          <t>MÉDIO</t>
        </is>
      </c>
      <c r="J135" s="6" t="inlineStr">
        <is>
          <t>swine</t>
        </is>
      </c>
      <c r="K135" s="6" t="n">
        <v>10</v>
      </c>
    </row>
    <row r="136">
      <c r="A136" s="6" t="inlineStr">
        <is>
          <t>3147105</t>
        </is>
      </c>
      <c r="B136" s="6" t="inlineStr">
        <is>
          <t>3147105</t>
        </is>
      </c>
      <c r="C136" s="4" t="inlineStr">
        <is>
          <t>Divinópolis</t>
        </is>
      </c>
      <c r="D136" s="16" t="n">
        <v>97139</v>
      </c>
      <c r="E136" s="8" t="n">
        <v>551.105</v>
      </c>
      <c r="F136" s="7" t="n">
        <v>-19.8458395</v>
      </c>
      <c r="G136" s="7" t="n">
        <v>-44.64243366</v>
      </c>
      <c r="H136" s="8" t="n">
        <v>325.4071</v>
      </c>
      <c r="I136" s="6" t="inlineStr">
        <is>
          <t>MÉDIO</t>
        </is>
      </c>
      <c r="J136" s="6" t="inlineStr">
        <is>
          <t>swine</t>
        </is>
      </c>
      <c r="K136" s="6" t="n">
        <v>8</v>
      </c>
    </row>
    <row r="137">
      <c r="A137" s="6" t="inlineStr">
        <is>
          <t>3108255</t>
        </is>
      </c>
      <c r="B137" s="6" t="inlineStr">
        <is>
          <t>3108255</t>
        </is>
      </c>
      <c r="C137" s="4" t="inlineStr">
        <is>
          <t>Montes Claros</t>
        </is>
      </c>
      <c r="D137" s="16" t="n">
        <v>10204</v>
      </c>
      <c r="E137" s="8" t="n">
        <v>3936.455</v>
      </c>
      <c r="F137" s="7" t="n">
        <v>-14.974534</v>
      </c>
      <c r="G137" s="7" t="n">
        <v>-44.95707956</v>
      </c>
      <c r="H137" s="8" t="n">
        <v>324.8313</v>
      </c>
      <c r="I137" s="6" t="inlineStr">
        <is>
          <t>MÉDIO</t>
        </is>
      </c>
      <c r="J137" s="6" t="inlineStr">
        <is>
          <t>swine</t>
        </is>
      </c>
      <c r="K137" s="6" t="n">
        <v>8</v>
      </c>
    </row>
    <row r="138">
      <c r="A138" s="6" t="inlineStr">
        <is>
          <t>3112307</t>
        </is>
      </c>
      <c r="B138" s="6" t="inlineStr">
        <is>
          <t>3112307</t>
        </is>
      </c>
      <c r="C138" s="4" t="inlineStr">
        <is>
          <t>Teófilo Otoni</t>
        </is>
      </c>
      <c r="D138" s="16" t="n">
        <v>39626</v>
      </c>
      <c r="E138" s="8" t="n">
        <v>965.292</v>
      </c>
      <c r="F138" s="7" t="n">
        <v>-17.702821</v>
      </c>
      <c r="G138" s="7" t="n">
        <v>-42.46840895</v>
      </c>
      <c r="H138" s="8" t="n">
        <v>321.2292</v>
      </c>
      <c r="I138" s="6" t="inlineStr">
        <is>
          <t>MÉDIO</t>
        </is>
      </c>
      <c r="J138" s="6" t="inlineStr">
        <is>
          <t>forestry</t>
        </is>
      </c>
      <c r="K138" s="6" t="n">
        <v>10</v>
      </c>
    </row>
    <row r="139">
      <c r="A139" s="6" t="inlineStr">
        <is>
          <t>3139003</t>
        </is>
      </c>
      <c r="B139" s="6" t="inlineStr">
        <is>
          <t>3139003</t>
        </is>
      </c>
      <c r="C139" s="4" t="inlineStr">
        <is>
          <t>Varginha</t>
        </is>
      </c>
      <c r="D139" s="16" t="n">
        <v>37684</v>
      </c>
      <c r="E139" s="8" t="n">
        <v>585.958</v>
      </c>
      <c r="F139" s="7" t="n">
        <v>-21.677377</v>
      </c>
      <c r="G139" s="7" t="n">
        <v>-45.94955649</v>
      </c>
      <c r="H139" s="8" t="n">
        <v>318.3049</v>
      </c>
      <c r="I139" s="6" t="inlineStr">
        <is>
          <t>MÉDIO</t>
        </is>
      </c>
      <c r="J139" s="6" t="inlineStr">
        <is>
          <t>corn</t>
        </is>
      </c>
      <c r="K139" s="6" t="n">
        <v>12</v>
      </c>
    </row>
    <row r="140">
      <c r="A140" s="6" t="inlineStr">
        <is>
          <t>3146909</t>
        </is>
      </c>
      <c r="B140" s="6" t="inlineStr">
        <is>
          <t>3146909</t>
        </is>
      </c>
      <c r="C140" s="4" t="inlineStr">
        <is>
          <t>Divinópolis</t>
        </is>
      </c>
      <c r="D140" s="16" t="n">
        <v>13920</v>
      </c>
      <c r="E140" s="8" t="n">
        <v>553.577</v>
      </c>
      <c r="F140" s="7" t="n">
        <v>-19.371841</v>
      </c>
      <c r="G140" s="7" t="n">
        <v>-44.66060226</v>
      </c>
      <c r="H140" s="8" t="n">
        <v>317.0212</v>
      </c>
      <c r="I140" s="6" t="inlineStr">
        <is>
          <t>MÉDIO</t>
        </is>
      </c>
      <c r="J140" s="6" t="inlineStr">
        <is>
          <t>swine</t>
        </is>
      </c>
      <c r="K140" s="6" t="n">
        <v>9</v>
      </c>
    </row>
    <row r="141">
      <c r="A141" s="6" t="inlineStr">
        <is>
          <t>3153707</t>
        </is>
      </c>
      <c r="B141" s="6" t="inlineStr">
        <is>
          <t>3153707</t>
        </is>
      </c>
      <c r="C141" s="4" t="inlineStr">
        <is>
          <t>Divinópolis</t>
        </is>
      </c>
      <c r="D141" s="16" t="n">
        <v>3179</v>
      </c>
      <c r="E141" s="8" t="n">
        <v>556.436</v>
      </c>
      <c r="F141" s="7" t="n">
        <v>-19.259562</v>
      </c>
      <c r="G141" s="7" t="n">
        <v>-45.62878609</v>
      </c>
      <c r="H141" s="8" t="n">
        <v>316.4079</v>
      </c>
      <c r="I141" s="6" t="inlineStr">
        <is>
          <t>MÉDIO</t>
        </is>
      </c>
      <c r="J141" s="6" t="inlineStr">
        <is>
          <t>swine</t>
        </is>
      </c>
      <c r="K141" s="6" t="n">
        <v>10</v>
      </c>
    </row>
    <row r="142">
      <c r="A142" s="6" t="inlineStr">
        <is>
          <t>3168606</t>
        </is>
      </c>
      <c r="B142" s="6" t="inlineStr">
        <is>
          <t>3168606</t>
        </is>
      </c>
      <c r="C142" s="4" t="inlineStr">
        <is>
          <t>Teófilo Otoni</t>
        </is>
      </c>
      <c r="D142" s="16" t="n">
        <v>137418</v>
      </c>
      <c r="E142" s="8" t="n">
        <v>3242.27</v>
      </c>
      <c r="F142" s="7" t="n">
        <v>-17.686009</v>
      </c>
      <c r="G142" s="7" t="n">
        <v>-41.3844131</v>
      </c>
      <c r="H142" s="8" t="n">
        <v>304.3541</v>
      </c>
      <c r="I142" s="6" t="inlineStr">
        <is>
          <t>MÉDIO</t>
        </is>
      </c>
      <c r="J142" s="6" t="inlineStr">
        <is>
          <t>swine</t>
        </is>
      </c>
      <c r="K142" s="6" t="n">
        <v>10</v>
      </c>
    </row>
    <row r="143">
      <c r="A143" s="6" t="inlineStr">
        <is>
          <t>3111606</t>
        </is>
      </c>
      <c r="B143" s="6" t="inlineStr">
        <is>
          <t>3111606</t>
        </is>
      </c>
      <c r="C143" s="4" t="inlineStr">
        <is>
          <t>Varginha</t>
        </is>
      </c>
      <c r="D143" s="16" t="n">
        <v>26105</v>
      </c>
      <c r="E143" s="8" t="n">
        <v>769.504</v>
      </c>
      <c r="F143" s="7" t="n">
        <v>-21.289663</v>
      </c>
      <c r="G143" s="7" t="n">
        <v>-45.72624624</v>
      </c>
      <c r="H143" s="8" t="n">
        <v>302.7372</v>
      </c>
      <c r="I143" s="6" t="inlineStr">
        <is>
          <t>MÉDIO</t>
        </is>
      </c>
      <c r="J143" s="6" t="inlineStr">
        <is>
          <t>coffee</t>
        </is>
      </c>
      <c r="K143" s="6" t="n">
        <v>12</v>
      </c>
    </row>
    <row r="144">
      <c r="A144" s="6" t="inlineStr">
        <is>
          <t>3119203</t>
        </is>
      </c>
      <c r="B144" s="6" t="inlineStr">
        <is>
          <t>3119203</t>
        </is>
      </c>
      <c r="C144" s="4" t="inlineStr">
        <is>
          <t>Governador Valadares</t>
        </is>
      </c>
      <c r="D144" s="16" t="n">
        <v>10884</v>
      </c>
      <c r="E144" s="8" t="n">
        <v>576.274</v>
      </c>
      <c r="F144" s="7" t="n">
        <v>-18.6283735</v>
      </c>
      <c r="G144" s="7" t="n">
        <v>-42.25444976</v>
      </c>
      <c r="H144" s="8" t="n">
        <v>300.4512</v>
      </c>
      <c r="I144" s="6" t="inlineStr">
        <is>
          <t>MÉDIO</t>
        </is>
      </c>
      <c r="J144" s="6" t="inlineStr">
        <is>
          <t>forestry</t>
        </is>
      </c>
      <c r="K144" s="6" t="n">
        <v>10</v>
      </c>
    </row>
    <row r="145">
      <c r="A145" s="6" t="inlineStr">
        <is>
          <t>3147204</t>
        </is>
      </c>
      <c r="B145" s="6" t="inlineStr">
        <is>
          <t>3147204</t>
        </is>
      </c>
      <c r="C145" s="4" t="inlineStr">
        <is>
          <t>Varginha</t>
        </is>
      </c>
      <c r="D145" s="16" t="n">
        <v>21723</v>
      </c>
      <c r="E145" s="8" t="n">
        <v>424.296</v>
      </c>
      <c r="F145" s="7" t="n">
        <v>-21.5687315</v>
      </c>
      <c r="G145" s="7" t="n">
        <v>-45.75844306</v>
      </c>
      <c r="H145" s="8" t="n">
        <v>299.3911</v>
      </c>
      <c r="I145" s="6" t="inlineStr">
        <is>
          <t>MÉDIO</t>
        </is>
      </c>
      <c r="J145" s="6" t="inlineStr">
        <is>
          <t>corn</t>
        </is>
      </c>
      <c r="K145" s="6" t="n">
        <v>10</v>
      </c>
    </row>
    <row r="146">
      <c r="A146" s="6" t="inlineStr">
        <is>
          <t>3102308</t>
        </is>
      </c>
      <c r="B146" s="6" t="inlineStr">
        <is>
          <t>3102308</t>
        </is>
      </c>
      <c r="C146" s="4" t="inlineStr">
        <is>
          <t>Juíz de Fora</t>
        </is>
      </c>
      <c r="D146" s="16" t="n">
        <v>15059</v>
      </c>
      <c r="E146" s="8" t="n">
        <v>599.443</v>
      </c>
      <c r="F146" s="7" t="n">
        <v>-20.110701</v>
      </c>
      <c r="G146" s="7" t="n">
        <v>-43.15617573</v>
      </c>
      <c r="H146" s="8" t="n">
        <v>296.3222</v>
      </c>
      <c r="I146" s="6" t="inlineStr">
        <is>
          <t>MÉDIO</t>
        </is>
      </c>
      <c r="J146" s="6" t="inlineStr">
        <is>
          <t>forestry</t>
        </is>
      </c>
      <c r="K146" s="6" t="n">
        <v>8</v>
      </c>
    </row>
    <row r="147">
      <c r="A147" s="6" t="inlineStr">
        <is>
          <t>3151800</t>
        </is>
      </c>
      <c r="B147" s="6" t="inlineStr">
        <is>
          <t>3151800</t>
        </is>
      </c>
      <c r="C147" s="4" t="inlineStr">
        <is>
          <t>Pouso Alegre</t>
        </is>
      </c>
      <c r="D147" s="16" t="n">
        <v>163742</v>
      </c>
      <c r="E147" s="8" t="n">
        <v>546.958</v>
      </c>
      <c r="F147" s="7" t="n">
        <v>-21.82052535</v>
      </c>
      <c r="G147" s="7" t="n">
        <v>-46.57740397</v>
      </c>
      <c r="H147" s="8" t="n">
        <v>296.1314</v>
      </c>
      <c r="I147" s="6" t="inlineStr">
        <is>
          <t>MÉDIO</t>
        </is>
      </c>
      <c r="J147" s="6" t="inlineStr">
        <is>
          <t>forestry</t>
        </is>
      </c>
      <c r="K147" s="6" t="n">
        <v>10</v>
      </c>
    </row>
    <row r="148">
      <c r="A148" s="6" t="inlineStr">
        <is>
          <t>3133808</t>
        </is>
      </c>
      <c r="B148" s="6" t="inlineStr">
        <is>
          <t>3133808</t>
        </is>
      </c>
      <c r="C148" s="4" t="inlineStr">
        <is>
          <t>Divinópolis</t>
        </is>
      </c>
      <c r="D148" s="16" t="n">
        <v>97669</v>
      </c>
      <c r="E148" s="8" t="n">
        <v>494.559</v>
      </c>
      <c r="F148" s="7" t="n">
        <v>-20.08004365</v>
      </c>
      <c r="G148" s="7" t="n">
        <v>-44.6014905</v>
      </c>
      <c r="H148" s="8" t="n">
        <v>293.4915</v>
      </c>
      <c r="I148" s="6" t="inlineStr">
        <is>
          <t>MÉDIO</t>
        </is>
      </c>
      <c r="J148" s="6" t="inlineStr">
        <is>
          <t>swine</t>
        </is>
      </c>
      <c r="K148" s="6" t="n">
        <v>9</v>
      </c>
    </row>
    <row r="149">
      <c r="A149" s="6" t="inlineStr">
        <is>
          <t>3127701</t>
        </is>
      </c>
      <c r="B149" s="6" t="inlineStr">
        <is>
          <t>3127701</t>
        </is>
      </c>
      <c r="C149" s="4" t="inlineStr">
        <is>
          <t>Governador Valadares</t>
        </is>
      </c>
      <c r="D149" s="16" t="n">
        <v>257171</v>
      </c>
      <c r="E149" s="8" t="n">
        <v>2342.376</v>
      </c>
      <c r="F149" s="7" t="n">
        <v>-18.7948675</v>
      </c>
      <c r="G149" s="7" t="n">
        <v>-42.01428065</v>
      </c>
      <c r="H149" s="8" t="n">
        <v>287.8365</v>
      </c>
      <c r="I149" s="6" t="inlineStr">
        <is>
          <t>MÉDIO</t>
        </is>
      </c>
      <c r="J149" s="6" t="inlineStr">
        <is>
          <t>swine</t>
        </is>
      </c>
      <c r="K149" s="6" t="n">
        <v>9</v>
      </c>
    </row>
    <row r="150">
      <c r="A150" s="6" t="inlineStr">
        <is>
          <t>3149200</t>
        </is>
      </c>
      <c r="B150" s="6" t="inlineStr">
        <is>
          <t>3149200</t>
        </is>
      </c>
      <c r="C150" s="4" t="inlineStr">
        <is>
          <t>Uberaba</t>
        </is>
      </c>
      <c r="D150" s="16" t="n">
        <v>3344</v>
      </c>
      <c r="E150" s="8" t="n">
        <v>357.891</v>
      </c>
      <c r="F150" s="7" t="n">
        <v>-19.18954</v>
      </c>
      <c r="G150" s="7" t="n">
        <v>-47.52344823</v>
      </c>
      <c r="H150" s="8" t="n">
        <v>285.6769</v>
      </c>
      <c r="I150" s="6" t="inlineStr">
        <is>
          <t>MÉDIO</t>
        </is>
      </c>
      <c r="J150" s="6" t="inlineStr">
        <is>
          <t>soybean</t>
        </is>
      </c>
      <c r="K150" s="6" t="n">
        <v>10</v>
      </c>
    </row>
    <row r="151">
      <c r="A151" s="6" t="inlineStr">
        <is>
          <t>3143005</t>
        </is>
      </c>
      <c r="B151" s="6" t="inlineStr">
        <is>
          <t>3143005</t>
        </is>
      </c>
      <c r="C151" s="4" t="inlineStr">
        <is>
          <t>Varginha</t>
        </is>
      </c>
      <c r="D151" s="16" t="n">
        <v>13046</v>
      </c>
      <c r="E151" s="8" t="n">
        <v>421.283</v>
      </c>
      <c r="F151" s="7" t="n">
        <v>-21.3059765</v>
      </c>
      <c r="G151" s="7" t="n">
        <v>-46.32987884</v>
      </c>
      <c r="H151" s="8" t="n">
        <v>284.832</v>
      </c>
      <c r="I151" s="6" t="inlineStr">
        <is>
          <t>MÉDIO</t>
        </is>
      </c>
      <c r="J151" s="6" t="inlineStr">
        <is>
          <t>sugarcane</t>
        </is>
      </c>
      <c r="K151" s="6" t="n">
        <v>11</v>
      </c>
    </row>
    <row r="152">
      <c r="A152" s="6" t="inlineStr">
        <is>
          <t>3128105</t>
        </is>
      </c>
      <c r="B152" s="6" t="inlineStr">
        <is>
          <t>3128105</t>
        </is>
      </c>
      <c r="C152" s="4" t="inlineStr">
        <is>
          <t>Varginha</t>
        </is>
      </c>
      <c r="D152" s="16" t="n">
        <v>13772</v>
      </c>
      <c r="E152" s="8" t="n">
        <v>934.345</v>
      </c>
      <c r="F152" s="7" t="n">
        <v>-20.7430005</v>
      </c>
      <c r="G152" s="7" t="n">
        <v>-45.93448714</v>
      </c>
      <c r="H152" s="8" t="n">
        <v>282.5371</v>
      </c>
      <c r="I152" s="6" t="inlineStr">
        <is>
          <t>MÉDIO</t>
        </is>
      </c>
      <c r="J152" s="6" t="inlineStr">
        <is>
          <t>swine</t>
        </is>
      </c>
      <c r="K152" s="6" t="n">
        <v>12</v>
      </c>
    </row>
    <row r="153">
      <c r="A153" s="6" t="inlineStr">
        <is>
          <t>3146503</t>
        </is>
      </c>
      <c r="B153" s="6" t="inlineStr">
        <is>
          <t>3146503</t>
        </is>
      </c>
      <c r="C153" s="4" t="inlineStr">
        <is>
          <t>Divinópolis</t>
        </is>
      </c>
      <c r="D153" s="16" t="n">
        <v>8142</v>
      </c>
      <c r="E153" s="8" t="n">
        <v>421.862</v>
      </c>
      <c r="F153" s="7" t="n">
        <v>-20.3979315</v>
      </c>
      <c r="G153" s="7" t="n">
        <v>-45.68187333</v>
      </c>
      <c r="H153" s="8" t="n">
        <v>282.4623</v>
      </c>
      <c r="I153" s="6" t="inlineStr">
        <is>
          <t>MÉDIO</t>
        </is>
      </c>
      <c r="J153" s="6" t="inlineStr">
        <is>
          <t>swine</t>
        </is>
      </c>
      <c r="K153" s="6" t="n">
        <v>9</v>
      </c>
    </row>
    <row r="154">
      <c r="A154" s="6" t="inlineStr">
        <is>
          <t>3168101</t>
        </is>
      </c>
      <c r="B154" s="6" t="inlineStr">
        <is>
          <t>3168101</t>
        </is>
      </c>
      <c r="C154" s="4" t="inlineStr">
        <is>
          <t>Uberaba</t>
        </is>
      </c>
      <c r="D154" s="16" t="n">
        <v>4118</v>
      </c>
      <c r="E154" s="8" t="n">
        <v>1179.248</v>
      </c>
      <c r="F154" s="7" t="n">
        <v>-19.913176</v>
      </c>
      <c r="G154" s="7" t="n">
        <v>-46.84806686</v>
      </c>
      <c r="H154" s="8" t="n">
        <v>281.1059</v>
      </c>
      <c r="I154" s="6" t="inlineStr">
        <is>
          <t>MÉDIO</t>
        </is>
      </c>
      <c r="J154" s="6" t="inlineStr">
        <is>
          <t>swine</t>
        </is>
      </c>
      <c r="K154" s="6" t="n">
        <v>9</v>
      </c>
    </row>
    <row r="155">
      <c r="A155" s="6" t="inlineStr">
        <is>
          <t>3119104</t>
        </is>
      </c>
      <c r="B155" s="6" t="inlineStr">
        <is>
          <t>3119104</t>
        </is>
      </c>
      <c r="C155" s="4" t="inlineStr">
        <is>
          <t>Belo Horizonte</t>
        </is>
      </c>
      <c r="D155" s="16" t="n">
        <v>23532</v>
      </c>
      <c r="E155" s="8" t="n">
        <v>2525.397</v>
      </c>
      <c r="F155" s="7" t="n">
        <v>-18.3118985</v>
      </c>
      <c r="G155" s="7" t="n">
        <v>-44.57875028</v>
      </c>
      <c r="H155" s="8" t="n">
        <v>279.988</v>
      </c>
      <c r="I155" s="6" t="inlineStr">
        <is>
          <t>MÉDIO</t>
        </is>
      </c>
      <c r="J155" s="6" t="inlineStr">
        <is>
          <t>swine</t>
        </is>
      </c>
      <c r="K155" s="6" t="n">
        <v>10</v>
      </c>
    </row>
    <row r="156">
      <c r="A156" s="6" t="inlineStr">
        <is>
          <t>3135308</t>
        </is>
      </c>
      <c r="B156" s="6" t="inlineStr">
        <is>
          <t>3135308</t>
        </is>
      </c>
      <c r="C156" s="4" t="inlineStr">
        <is>
          <t>Divinópolis</t>
        </is>
      </c>
      <c r="D156" s="16" t="n">
        <v>4506</v>
      </c>
      <c r="E156" s="8" t="n">
        <v>172.141</v>
      </c>
      <c r="F156" s="7" t="n">
        <v>-20.133871</v>
      </c>
      <c r="G156" s="7" t="n">
        <v>-45.5338849</v>
      </c>
      <c r="H156" s="8" t="n">
        <v>279.6759</v>
      </c>
      <c r="I156" s="6" t="inlineStr">
        <is>
          <t>MÉDIO</t>
        </is>
      </c>
      <c r="J156" s="6" t="inlineStr">
        <is>
          <t>sugarcane</t>
        </is>
      </c>
      <c r="K156" s="6" t="n">
        <v>9</v>
      </c>
    </row>
    <row r="157">
      <c r="A157" s="6" t="inlineStr">
        <is>
          <t>3161106</t>
        </is>
      </c>
      <c r="B157" s="6" t="inlineStr">
        <is>
          <t>3161106</t>
        </is>
      </c>
      <c r="C157" s="4" t="inlineStr">
        <is>
          <t>Montes Claros</t>
        </is>
      </c>
      <c r="D157" s="16" t="n">
        <v>52762</v>
      </c>
      <c r="E157" s="8" t="n">
        <v>3308.1</v>
      </c>
      <c r="F157" s="7" t="n">
        <v>-15.8582655</v>
      </c>
      <c r="G157" s="7" t="n">
        <v>-44.88961334</v>
      </c>
      <c r="H157" s="8" t="n">
        <v>278.3262</v>
      </c>
      <c r="I157" s="6" t="inlineStr">
        <is>
          <t>MÉDIO</t>
        </is>
      </c>
      <c r="J157" s="6" t="inlineStr">
        <is>
          <t>swine</t>
        </is>
      </c>
      <c r="K157" s="6" t="n">
        <v>8</v>
      </c>
    </row>
    <row r="158">
      <c r="A158" s="6" t="inlineStr">
        <is>
          <t>3164209</t>
        </is>
      </c>
      <c r="B158" s="6" t="inlineStr">
        <is>
          <t>3164209</t>
        </is>
      </c>
      <c r="C158" s="4" t="inlineStr">
        <is>
          <t>Montes Claros</t>
        </is>
      </c>
      <c r="D158" s="16" t="n">
        <v>10315</v>
      </c>
      <c r="E158" s="8" t="n">
        <v>2434.004</v>
      </c>
      <c r="F158" s="7" t="n">
        <v>-16.354035</v>
      </c>
      <c r="G158" s="7" t="n">
        <v>-45.379604</v>
      </c>
      <c r="H158" s="8" t="n">
        <v>273.8311</v>
      </c>
      <c r="I158" s="6" t="inlineStr">
        <is>
          <t>MÉDIO</t>
        </is>
      </c>
      <c r="J158" s="6" t="inlineStr">
        <is>
          <t>swine</t>
        </is>
      </c>
      <c r="K158" s="6" t="n">
        <v>8</v>
      </c>
    </row>
    <row r="159">
      <c r="A159" s="6" t="inlineStr">
        <is>
          <t>3113701</t>
        </is>
      </c>
      <c r="B159" s="6" t="inlineStr">
        <is>
          <t>3113701</t>
        </is>
      </c>
      <c r="C159" s="4" t="inlineStr">
        <is>
          <t>Teófilo Otoni</t>
        </is>
      </c>
      <c r="D159" s="16" t="n">
        <v>18615</v>
      </c>
      <c r="E159" s="8" t="n">
        <v>3202.984</v>
      </c>
      <c r="F159" s="7" t="n">
        <v>-17.6678965</v>
      </c>
      <c r="G159" s="7" t="n">
        <v>-40.88165342</v>
      </c>
      <c r="H159" s="8" t="n">
        <v>273.2829</v>
      </c>
      <c r="I159" s="6" t="inlineStr">
        <is>
          <t>MÉDIO</t>
        </is>
      </c>
      <c r="J159" s="6" t="inlineStr">
        <is>
          <t>swine</t>
        </is>
      </c>
      <c r="K159" s="6" t="n">
        <v>8</v>
      </c>
    </row>
    <row r="160">
      <c r="A160" s="6" t="inlineStr">
        <is>
          <t>3118809</t>
        </is>
      </c>
      <c r="B160" s="6" t="inlineStr">
        <is>
          <t>3118809</t>
        </is>
      </c>
      <c r="C160" s="4" t="inlineStr">
        <is>
          <t>Montes Claros</t>
        </is>
      </c>
      <c r="D160" s="16" t="n">
        <v>25377</v>
      </c>
      <c r="E160" s="8" t="n">
        <v>2225.216</v>
      </c>
      <c r="F160" s="7" t="n">
        <v>-16.615768</v>
      </c>
      <c r="G160" s="7" t="n">
        <v>-44.27254278</v>
      </c>
      <c r="H160" s="8" t="n">
        <v>272.2629</v>
      </c>
      <c r="I160" s="6" t="inlineStr">
        <is>
          <t>MÉDIO</t>
        </is>
      </c>
      <c r="J160" s="6" t="inlineStr">
        <is>
          <t>swine</t>
        </is>
      </c>
      <c r="K160" s="6" t="n">
        <v>10</v>
      </c>
    </row>
    <row r="161">
      <c r="A161" s="6" t="inlineStr">
        <is>
          <t>3139409</t>
        </is>
      </c>
      <c r="B161" s="6" t="inlineStr">
        <is>
          <t>3139409</t>
        </is>
      </c>
      <c r="C161" s="4" t="inlineStr">
        <is>
          <t>Juíz de Fora</t>
        </is>
      </c>
      <c r="D161" s="16" t="n">
        <v>91886</v>
      </c>
      <c r="E161" s="8" t="n">
        <v>628.318</v>
      </c>
      <c r="F161" s="7" t="n">
        <v>-20.1833965</v>
      </c>
      <c r="G161" s="7" t="n">
        <v>-42.08306439</v>
      </c>
      <c r="H161" s="8" t="n">
        <v>265.8802</v>
      </c>
      <c r="I161" s="6" t="inlineStr">
        <is>
          <t>MÉDIO</t>
        </is>
      </c>
      <c r="J161" s="6" t="inlineStr">
        <is>
          <t>swine</t>
        </is>
      </c>
      <c r="K161" s="6" t="n">
        <v>10</v>
      </c>
    </row>
    <row r="162">
      <c r="A162" s="6" t="inlineStr">
        <is>
          <t>3122470</t>
        </is>
      </c>
      <c r="B162" s="6" t="inlineStr">
        <is>
          <t>3122470</t>
        </is>
      </c>
      <c r="C162" s="4" t="inlineStr">
        <is>
          <t>Patos de Minas</t>
        </is>
      </c>
      <c r="D162" s="16" t="n">
        <v>3697</v>
      </c>
      <c r="E162" s="8" t="n">
        <v>817.383</v>
      </c>
      <c r="F162" s="7" t="n">
        <v>-16.74275</v>
      </c>
      <c r="G162" s="7" t="n">
        <v>-46.29209112</v>
      </c>
      <c r="H162" s="8" t="n">
        <v>264.8785</v>
      </c>
      <c r="I162" s="6" t="inlineStr">
        <is>
          <t>MÉDIO</t>
        </is>
      </c>
      <c r="J162" s="6" t="inlineStr">
        <is>
          <t>swine</t>
        </is>
      </c>
      <c r="K162" s="6" t="n">
        <v>9</v>
      </c>
    </row>
    <row r="163">
      <c r="A163" s="6" t="inlineStr">
        <is>
          <t>3111507</t>
        </is>
      </c>
      <c r="B163" s="6" t="inlineStr">
        <is>
          <t>3111507</t>
        </is>
      </c>
      <c r="C163" s="4" t="inlineStr">
        <is>
          <t>Uberaba</t>
        </is>
      </c>
      <c r="D163" s="16" t="n">
        <v>12979</v>
      </c>
      <c r="E163" s="8" t="n">
        <v>710.645</v>
      </c>
      <c r="F163" s="7" t="n">
        <v>-19.610631</v>
      </c>
      <c r="G163" s="7" t="n">
        <v>-46.19538722</v>
      </c>
      <c r="H163" s="8" t="n">
        <v>263.6105</v>
      </c>
      <c r="I163" s="6" t="inlineStr">
        <is>
          <t>MÉDIO</t>
        </is>
      </c>
      <c r="J163" s="6" t="inlineStr">
        <is>
          <t>swine</t>
        </is>
      </c>
      <c r="K163" s="6" t="n">
        <v>9</v>
      </c>
    </row>
    <row r="164">
      <c r="A164" s="6" t="inlineStr">
        <is>
          <t>3138401</t>
        </is>
      </c>
      <c r="B164" s="6" t="inlineStr">
        <is>
          <t>3138401</t>
        </is>
      </c>
      <c r="C164" s="4" t="inlineStr">
        <is>
          <t>Juíz de Fora</t>
        </is>
      </c>
      <c r="D164" s="16" t="n">
        <v>51145</v>
      </c>
      <c r="E164" s="8" t="n">
        <v>943.077</v>
      </c>
      <c r="F164" s="7" t="n">
        <v>-21.5446095</v>
      </c>
      <c r="G164" s="7" t="n">
        <v>-42.6806446</v>
      </c>
      <c r="H164" s="8" t="n">
        <v>262.347</v>
      </c>
      <c r="I164" s="6" t="inlineStr">
        <is>
          <t>MÉDIO</t>
        </is>
      </c>
      <c r="J164" s="6" t="inlineStr">
        <is>
          <t>swine</t>
        </is>
      </c>
      <c r="K164" s="6" t="n">
        <v>10</v>
      </c>
    </row>
    <row r="165">
      <c r="A165" s="6" t="inlineStr">
        <is>
          <t>3128907</t>
        </is>
      </c>
      <c r="B165" s="6" t="inlineStr">
        <is>
          <t>3128907</t>
        </is>
      </c>
      <c r="C165" s="4" t="inlineStr">
        <is>
          <t>Patos de Minas</t>
        </is>
      </c>
      <c r="D165" s="16" t="n">
        <v>8478</v>
      </c>
      <c r="E165" s="8" t="n">
        <v>366.833</v>
      </c>
      <c r="F165" s="7" t="n">
        <v>-18.7967095</v>
      </c>
      <c r="G165" s="7" t="n">
        <v>-46.77397376</v>
      </c>
      <c r="H165" s="8" t="n">
        <v>261.4547</v>
      </c>
      <c r="I165" s="6" t="inlineStr">
        <is>
          <t>MÉDIO</t>
        </is>
      </c>
      <c r="J165" s="6" t="inlineStr">
        <is>
          <t>swine</t>
        </is>
      </c>
      <c r="K165" s="6" t="n">
        <v>12</v>
      </c>
    </row>
    <row r="166">
      <c r="A166" s="6" t="inlineStr">
        <is>
          <t>3169406</t>
        </is>
      </c>
      <c r="B166" s="6" t="inlineStr">
        <is>
          <t>3169406</t>
        </is>
      </c>
      <c r="C166" s="4" t="inlineStr">
        <is>
          <t>Varginha</t>
        </is>
      </c>
      <c r="D166" s="16" t="n">
        <v>55255</v>
      </c>
      <c r="E166" s="8" t="n">
        <v>689.794</v>
      </c>
      <c r="F166" s="7" t="n">
        <v>-21.405323</v>
      </c>
      <c r="G166" s="7" t="n">
        <v>-45.49907517</v>
      </c>
      <c r="H166" s="8" t="n">
        <v>260.9458</v>
      </c>
      <c r="I166" s="6" t="inlineStr">
        <is>
          <t>MÉDIO</t>
        </is>
      </c>
      <c r="J166" s="6" t="inlineStr">
        <is>
          <t>coffee</t>
        </is>
      </c>
      <c r="K166" s="6" t="n">
        <v>12</v>
      </c>
    </row>
    <row r="167">
      <c r="A167" s="6" t="inlineStr">
        <is>
          <t>3114204</t>
        </is>
      </c>
      <c r="B167" s="6" t="inlineStr">
        <is>
          <t>3114204</t>
        </is>
      </c>
      <c r="C167" s="4" t="inlineStr">
        <is>
          <t>Divinópolis</t>
        </is>
      </c>
      <c r="D167" s="16" t="n">
        <v>23479</v>
      </c>
      <c r="E167" s="8" t="n">
        <v>455.807</v>
      </c>
      <c r="F167" s="7" t="n">
        <v>-20.19519855</v>
      </c>
      <c r="G167" s="7" t="n">
        <v>-44.69870296</v>
      </c>
      <c r="H167" s="8" t="n">
        <v>260.8551</v>
      </c>
      <c r="I167" s="6" t="inlineStr">
        <is>
          <t>MÉDIO</t>
        </is>
      </c>
      <c r="J167" s="6" t="inlineStr">
        <is>
          <t>swine</t>
        </is>
      </c>
      <c r="K167" s="6" t="n">
        <v>9</v>
      </c>
    </row>
    <row r="168">
      <c r="A168" s="6" t="inlineStr">
        <is>
          <t>3112000</t>
        </is>
      </c>
      <c r="B168" s="6" t="inlineStr">
        <is>
          <t>3112000</t>
        </is>
      </c>
      <c r="C168" s="4" t="inlineStr">
        <is>
          <t>Varginha</t>
        </is>
      </c>
      <c r="D168" s="16" t="n">
        <v>14001</v>
      </c>
      <c r="E168" s="8" t="n">
        <v>720.5119999999999</v>
      </c>
      <c r="F168" s="7" t="n">
        <v>-20.748993</v>
      </c>
      <c r="G168" s="7" t="n">
        <v>-45.277197</v>
      </c>
      <c r="H168" s="8" t="n">
        <v>260.567</v>
      </c>
      <c r="I168" s="6" t="inlineStr">
        <is>
          <t>MÉDIO</t>
        </is>
      </c>
      <c r="J168" s="6" t="inlineStr">
        <is>
          <t>corn</t>
        </is>
      </c>
      <c r="K168" s="6" t="n">
        <v>12</v>
      </c>
    </row>
    <row r="169">
      <c r="A169" s="6" t="inlineStr">
        <is>
          <t>3162203</t>
        </is>
      </c>
      <c r="B169" s="6" t="inlineStr">
        <is>
          <t>3162203</t>
        </is>
      </c>
      <c r="C169" s="4" t="inlineStr">
        <is>
          <t>Varginha</t>
        </is>
      </c>
      <c r="D169" s="16" t="n">
        <v>7652</v>
      </c>
      <c r="E169" s="8" t="n">
        <v>547.908</v>
      </c>
      <c r="F169" s="7" t="n">
        <v>-20.534608</v>
      </c>
      <c r="G169" s="7" t="n">
        <v>-46.4230429</v>
      </c>
      <c r="H169" s="8" t="n">
        <v>260.3335</v>
      </c>
      <c r="I169" s="6" t="inlineStr">
        <is>
          <t>MÉDIO</t>
        </is>
      </c>
      <c r="J169" s="6" t="inlineStr">
        <is>
          <t>corn</t>
        </is>
      </c>
      <c r="K169" s="6" t="n">
        <v>11</v>
      </c>
    </row>
    <row r="170">
      <c r="A170" s="6" t="inlineStr">
        <is>
          <t>3110509</t>
        </is>
      </c>
      <c r="B170" s="6" t="inlineStr">
        <is>
          <t>3110509</t>
        </is>
      </c>
      <c r="C170" s="4" t="inlineStr">
        <is>
          <t>Pouso Alegre</t>
        </is>
      </c>
      <c r="D170" s="16" t="n">
        <v>26097</v>
      </c>
      <c r="E170" s="8" t="n">
        <v>528.688</v>
      </c>
      <c r="F170" s="7" t="n">
        <v>-22.796311</v>
      </c>
      <c r="G170" s="7" t="n">
        <v>-46.08729956</v>
      </c>
      <c r="H170" s="8" t="n">
        <v>260.0178</v>
      </c>
      <c r="I170" s="6" t="inlineStr">
        <is>
          <t>MÉDIO</t>
        </is>
      </c>
      <c r="J170" s="6" t="inlineStr">
        <is>
          <t>forestry</t>
        </is>
      </c>
      <c r="K170" s="6" t="n">
        <v>8</v>
      </c>
    </row>
    <row r="171">
      <c r="A171" s="6" t="inlineStr">
        <is>
          <t>3154507</t>
        </is>
      </c>
      <c r="B171" s="6" t="inlineStr">
        <is>
          <t>3154507</t>
        </is>
      </c>
      <c r="C171" s="4" t="inlineStr">
        <is>
          <t>Montes Claros</t>
        </is>
      </c>
      <c r="D171" s="16" t="n">
        <v>8756</v>
      </c>
      <c r="E171" s="8" t="n">
        <v>1315.54</v>
      </c>
      <c r="F171" s="7" t="n">
        <v>-16.0431985</v>
      </c>
      <c r="G171" s="7" t="n">
        <v>-42.9501945</v>
      </c>
      <c r="H171" s="8" t="n">
        <v>254.9961</v>
      </c>
      <c r="I171" s="6" t="inlineStr">
        <is>
          <t>MÉDIO</t>
        </is>
      </c>
      <c r="J171" s="6" t="inlineStr">
        <is>
          <t>forestry</t>
        </is>
      </c>
      <c r="K171" s="6" t="n">
        <v>8</v>
      </c>
    </row>
    <row r="172">
      <c r="A172" s="6" t="inlineStr">
        <is>
          <t>3107000</t>
        </is>
      </c>
      <c r="B172" s="6" t="inlineStr">
        <is>
          <t>3107000</t>
        </is>
      </c>
      <c r="C172" s="4" t="inlineStr">
        <is>
          <t>Divinópolis</t>
        </is>
      </c>
      <c r="D172" s="16" t="n">
        <v>2383</v>
      </c>
      <c r="E172" s="8" t="n">
        <v>458.948</v>
      </c>
      <c r="F172" s="7" t="n">
        <v>-18.765062</v>
      </c>
      <c r="G172" s="7" t="n">
        <v>-45.53929395</v>
      </c>
      <c r="H172" s="8" t="n">
        <v>251.2371</v>
      </c>
      <c r="I172" s="6" t="inlineStr">
        <is>
          <t>MÉDIO</t>
        </is>
      </c>
      <c r="J172" s="6" t="inlineStr">
        <is>
          <t>swine</t>
        </is>
      </c>
      <c r="K172" s="6" t="n">
        <v>11</v>
      </c>
    </row>
    <row r="173">
      <c r="A173" s="6" t="inlineStr">
        <is>
          <t>3120201</t>
        </is>
      </c>
      <c r="B173" s="6" t="inlineStr">
        <is>
          <t>3120201</t>
        </is>
      </c>
      <c r="C173" s="4" t="inlineStr">
        <is>
          <t>Varginha</t>
        </is>
      </c>
      <c r="D173" s="16" t="n">
        <v>12197</v>
      </c>
      <c r="E173" s="8" t="n">
        <v>628.434</v>
      </c>
      <c r="F173" s="7" t="n">
        <v>-20.811929</v>
      </c>
      <c r="G173" s="7" t="n">
        <v>-45.54150661</v>
      </c>
      <c r="H173" s="8" t="n">
        <v>250.8779</v>
      </c>
      <c r="I173" s="6" t="inlineStr">
        <is>
          <t>MÉDIO</t>
        </is>
      </c>
      <c r="J173" s="6" t="inlineStr">
        <is>
          <t>swine</t>
        </is>
      </c>
      <c r="K173" s="6" t="n">
        <v>12</v>
      </c>
    </row>
    <row r="174">
      <c r="A174" s="6" t="inlineStr">
        <is>
          <t>3138609</t>
        </is>
      </c>
      <c r="B174" s="6" t="inlineStr">
        <is>
          <t>3138609</t>
        </is>
      </c>
      <c r="C174" s="4" t="inlineStr">
        <is>
          <t>Juíz de Fora</t>
        </is>
      </c>
      <c r="D174" s="16" t="n">
        <v>17221</v>
      </c>
      <c r="E174" s="8" t="n">
        <v>848.564</v>
      </c>
      <c r="F174" s="7" t="n">
        <v>-21.7997085</v>
      </c>
      <c r="G174" s="7" t="n">
        <v>-43.90456922</v>
      </c>
      <c r="H174" s="8" t="n">
        <v>250.7415</v>
      </c>
      <c r="I174" s="6" t="inlineStr">
        <is>
          <t>MÉDIO</t>
        </is>
      </c>
      <c r="J174" s="6" t="inlineStr">
        <is>
          <t>swine</t>
        </is>
      </c>
      <c r="K174" s="6" t="n">
        <v>8</v>
      </c>
    </row>
    <row r="175">
      <c r="A175" s="6" t="inlineStr">
        <is>
          <t>3117702</t>
        </is>
      </c>
      <c r="B175" s="6" t="inlineStr">
        <is>
          <t>3117702</t>
        </is>
      </c>
      <c r="C175" s="4" t="inlineStr">
        <is>
          <t>Pouso Alegre</t>
        </is>
      </c>
      <c r="D175" s="16" t="n">
        <v>12541</v>
      </c>
      <c r="E175" s="8" t="n">
        <v>369.681</v>
      </c>
      <c r="F175" s="7" t="n">
        <v>-21.8924365</v>
      </c>
      <c r="G175" s="7" t="n">
        <v>-45.09181881</v>
      </c>
      <c r="H175" s="8" t="n">
        <v>250.5333</v>
      </c>
      <c r="I175" s="6" t="inlineStr">
        <is>
          <t>MÉDIO</t>
        </is>
      </c>
      <c r="J175" s="6" t="inlineStr">
        <is>
          <t>corn</t>
        </is>
      </c>
      <c r="K175" s="6" t="n">
        <v>10</v>
      </c>
    </row>
    <row r="176">
      <c r="A176" s="6" t="inlineStr">
        <is>
          <t>3161007</t>
        </is>
      </c>
      <c r="B176" s="6" t="inlineStr">
        <is>
          <t>3161007</t>
        </is>
      </c>
      <c r="C176" s="4" t="inlineStr">
        <is>
          <t>Ipatinga</t>
        </is>
      </c>
      <c r="D176" s="16" t="n">
        <v>17392</v>
      </c>
      <c r="E176" s="8" t="n">
        <v>743.768</v>
      </c>
      <c r="F176" s="7" t="n">
        <v>-19.8789015</v>
      </c>
      <c r="G176" s="7" t="n">
        <v>-42.95953724</v>
      </c>
      <c r="H176" s="8" t="n">
        <v>248.2295</v>
      </c>
      <c r="I176" s="6" t="inlineStr">
        <is>
          <t>MÉDIO</t>
        </is>
      </c>
      <c r="J176" s="6" t="inlineStr">
        <is>
          <t>forestry</t>
        </is>
      </c>
      <c r="K176" s="6" t="n">
        <v>11</v>
      </c>
    </row>
    <row r="177">
      <c r="A177" s="6" t="inlineStr">
        <is>
          <t>3143203</t>
        </is>
      </c>
      <c r="B177" s="6" t="inlineStr">
        <is>
          <t>3143203</t>
        </is>
      </c>
      <c r="C177" s="4" t="inlineStr">
        <is>
          <t>Varginha</t>
        </is>
      </c>
      <c r="D177" s="16" t="n">
        <v>20890</v>
      </c>
      <c r="E177" s="8" t="n">
        <v>594.6319999999999</v>
      </c>
      <c r="F177" s="7" t="n">
        <v>-21.2050815</v>
      </c>
      <c r="G177" s="7" t="n">
        <v>-46.97070467</v>
      </c>
      <c r="H177" s="8" t="n">
        <v>244.2723</v>
      </c>
      <c r="I177" s="6" t="inlineStr">
        <is>
          <t>MÉDIO</t>
        </is>
      </c>
      <c r="J177" s="6" t="inlineStr">
        <is>
          <t>sugarcane</t>
        </is>
      </c>
      <c r="K177" s="6" t="n">
        <v>12</v>
      </c>
    </row>
    <row r="178">
      <c r="A178" s="6" t="inlineStr">
        <is>
          <t>3156809</t>
        </is>
      </c>
      <c r="B178" s="6" t="inlineStr">
        <is>
          <t>3156809</t>
        </is>
      </c>
      <c r="C178" s="4" t="inlineStr">
        <is>
          <t>Governador Valadares</t>
        </is>
      </c>
      <c r="D178" s="16" t="n">
        <v>14240</v>
      </c>
      <c r="E178" s="8" t="n">
        <v>919.811</v>
      </c>
      <c r="F178" s="7" t="n">
        <v>-18.649622</v>
      </c>
      <c r="G178" s="7" t="n">
        <v>-43.04210124</v>
      </c>
      <c r="H178" s="8" t="n">
        <v>244.0437</v>
      </c>
      <c r="I178" s="6" t="inlineStr">
        <is>
          <t>MÉDIO</t>
        </is>
      </c>
      <c r="J178" s="6" t="inlineStr">
        <is>
          <t>forestry</t>
        </is>
      </c>
      <c r="K178" s="6" t="n">
        <v>10</v>
      </c>
    </row>
    <row r="179">
      <c r="A179" s="6" t="inlineStr">
        <is>
          <t>3132206</t>
        </is>
      </c>
      <c r="B179" s="6" t="inlineStr">
        <is>
          <t>3132206</t>
        </is>
      </c>
      <c r="C179" s="4" t="inlineStr">
        <is>
          <t>Divinópolis</t>
        </is>
      </c>
      <c r="D179" s="16" t="n">
        <v>13846</v>
      </c>
      <c r="E179" s="8" t="n">
        <v>410.468</v>
      </c>
      <c r="F179" s="7" t="n">
        <v>-20.3712135</v>
      </c>
      <c r="G179" s="7" t="n">
        <v>-44.53460617</v>
      </c>
      <c r="H179" s="8" t="n">
        <v>242.878</v>
      </c>
      <c r="I179" s="6" t="inlineStr">
        <is>
          <t>MÉDIO</t>
        </is>
      </c>
      <c r="J179" s="6" t="inlineStr">
        <is>
          <t>swine</t>
        </is>
      </c>
      <c r="K179" s="6" t="n">
        <v>11</v>
      </c>
    </row>
    <row r="180">
      <c r="A180" s="6" t="inlineStr">
        <is>
          <t>3143906</t>
        </is>
      </c>
      <c r="B180" s="6" t="inlineStr">
        <is>
          <t>3143906</t>
        </is>
      </c>
      <c r="C180" s="4" t="inlineStr">
        <is>
          <t>Juíz de Fora</t>
        </is>
      </c>
      <c r="D180" s="16" t="n">
        <v>104108</v>
      </c>
      <c r="E180" s="8" t="n">
        <v>841.693</v>
      </c>
      <c r="F180" s="7" t="n">
        <v>-21.0863235</v>
      </c>
      <c r="G180" s="7" t="n">
        <v>-42.4012171</v>
      </c>
      <c r="H180" s="8" t="n">
        <v>242.5645</v>
      </c>
      <c r="I180" s="6" t="inlineStr">
        <is>
          <t>MÉDIO</t>
        </is>
      </c>
      <c r="J180" s="6" t="inlineStr">
        <is>
          <t>swine</t>
        </is>
      </c>
      <c r="K180" s="6" t="n">
        <v>10</v>
      </c>
    </row>
    <row r="181">
      <c r="A181" s="6" t="inlineStr">
        <is>
          <t>3164605</t>
        </is>
      </c>
      <c r="B181" s="6" t="inlineStr">
        <is>
          <t>3164605</t>
        </is>
      </c>
      <c r="C181" s="4" t="inlineStr">
        <is>
          <t>Divinópolis</t>
        </is>
      </c>
      <c r="D181" s="16" t="n">
        <v>8815</v>
      </c>
      <c r="E181" s="8" t="n">
        <v>408.09</v>
      </c>
      <c r="F181" s="7" t="n">
        <v>-20.2534655</v>
      </c>
      <c r="G181" s="7" t="n">
        <v>-45.01740488</v>
      </c>
      <c r="H181" s="8" t="n">
        <v>241.741</v>
      </c>
      <c r="I181" s="6" t="inlineStr">
        <is>
          <t>MÉDIO</t>
        </is>
      </c>
      <c r="J181" s="6" t="inlineStr">
        <is>
          <t>swine</t>
        </is>
      </c>
      <c r="K181" s="6" t="n">
        <v>8</v>
      </c>
    </row>
    <row r="182">
      <c r="A182" s="6" t="inlineStr">
        <is>
          <t>3131604</t>
        </is>
      </c>
      <c r="B182" s="6" t="inlineStr">
        <is>
          <t>3131604</t>
        </is>
      </c>
      <c r="C182" s="4" t="inlineStr">
        <is>
          <t>Uberlândia</t>
        </is>
      </c>
      <c r="D182" s="16" t="n">
        <v>7180</v>
      </c>
      <c r="E182" s="8" t="n">
        <v>356.264</v>
      </c>
      <c r="F182" s="7" t="n">
        <v>-19.048518</v>
      </c>
      <c r="G182" s="7" t="n">
        <v>-47.48097697</v>
      </c>
      <c r="H182" s="8" t="n">
        <v>240.2193</v>
      </c>
      <c r="I182" s="6" t="inlineStr">
        <is>
          <t>MÉDIO</t>
        </is>
      </c>
      <c r="J182" s="6" t="inlineStr">
        <is>
          <t>corn</t>
        </is>
      </c>
      <c r="K182" s="6" t="n">
        <v>9</v>
      </c>
    </row>
    <row r="183">
      <c r="A183" s="6" t="inlineStr">
        <is>
          <t>3138203</t>
        </is>
      </c>
      <c r="B183" s="6" t="inlineStr">
        <is>
          <t>3138203</t>
        </is>
      </c>
      <c r="C183" s="4" t="inlineStr">
        <is>
          <t>Varginha</t>
        </is>
      </c>
      <c r="D183" s="16" t="n">
        <v>104761</v>
      </c>
      <c r="E183" s="8" t="n">
        <v>564.744</v>
      </c>
      <c r="F183" s="7" t="n">
        <v>-21.2631935</v>
      </c>
      <c r="G183" s="7" t="n">
        <v>-45.02097099</v>
      </c>
      <c r="H183" s="8" t="n">
        <v>239.6111</v>
      </c>
      <c r="I183" s="6" t="inlineStr">
        <is>
          <t>MÉDIO</t>
        </is>
      </c>
      <c r="J183" s="6" t="inlineStr">
        <is>
          <t>corn</t>
        </is>
      </c>
      <c r="K183" s="6" t="n">
        <v>12</v>
      </c>
    </row>
    <row r="184">
      <c r="A184" s="6" t="inlineStr">
        <is>
          <t>3125705</t>
        </is>
      </c>
      <c r="B184" s="6" t="inlineStr">
        <is>
          <t>3125705</t>
        </is>
      </c>
      <c r="C184" s="4" t="inlineStr">
        <is>
          <t>Belo Horizonte</t>
        </is>
      </c>
      <c r="D184" s="16" t="n">
        <v>13978</v>
      </c>
      <c r="E184" s="8" t="n">
        <v>1554.627</v>
      </c>
      <c r="F184" s="7" t="n">
        <v>-18.6928775</v>
      </c>
      <c r="G184" s="7" t="n">
        <v>-45.00126953</v>
      </c>
      <c r="H184" s="8" t="n">
        <v>239.0988</v>
      </c>
      <c r="I184" s="6" t="inlineStr">
        <is>
          <t>MÉDIO</t>
        </is>
      </c>
      <c r="J184" s="6" t="inlineStr">
        <is>
          <t>swine</t>
        </is>
      </c>
      <c r="K184" s="6" t="n">
        <v>9</v>
      </c>
    </row>
    <row r="185">
      <c r="A185" s="6" t="inlineStr">
        <is>
          <t>3101003</t>
        </is>
      </c>
      <c r="B185" s="6" t="inlineStr">
        <is>
          <t>3101003</t>
        </is>
      </c>
      <c r="C185" s="4" t="inlineStr">
        <is>
          <t>Teófilo Otoni</t>
        </is>
      </c>
      <c r="D185" s="16" t="n">
        <v>14037</v>
      </c>
      <c r="E185" s="8" t="n">
        <v>1256.607</v>
      </c>
      <c r="F185" s="7" t="n">
        <v>-15.723904</v>
      </c>
      <c r="G185" s="7" t="n">
        <v>-41.52487984</v>
      </c>
      <c r="H185" s="8" t="n">
        <v>238.7732</v>
      </c>
      <c r="I185" s="6" t="inlineStr">
        <is>
          <t>MÉDIO</t>
        </is>
      </c>
      <c r="J185" s="6" t="inlineStr">
        <is>
          <t>forestry</t>
        </is>
      </c>
      <c r="K185" s="6" t="n">
        <v>9</v>
      </c>
    </row>
    <row r="186">
      <c r="A186" s="6" t="inlineStr">
        <is>
          <t>3118601</t>
        </is>
      </c>
      <c r="B186" s="6" t="inlineStr">
        <is>
          <t>3118601</t>
        </is>
      </c>
      <c r="C186" s="4" t="inlineStr">
        <is>
          <t>Belo Horizonte</t>
        </is>
      </c>
      <c r="D186" s="16" t="n">
        <v>621863</v>
      </c>
      <c r="E186" s="8" t="n">
        <v>194.732</v>
      </c>
      <c r="F186" s="7" t="n">
        <v>-19.89132405</v>
      </c>
      <c r="G186" s="7" t="n">
        <v>-44.08679811</v>
      </c>
      <c r="H186" s="8" t="n">
        <v>238.6855</v>
      </c>
      <c r="I186" s="6" t="inlineStr">
        <is>
          <t>MÉDIO</t>
        </is>
      </c>
      <c r="J186" s="6" t="inlineStr">
        <is>
          <t>rsu_organic</t>
        </is>
      </c>
      <c r="K186" s="6" t="n">
        <v>6</v>
      </c>
    </row>
    <row r="187">
      <c r="A187" s="6" t="inlineStr">
        <is>
          <t>3157609</t>
        </is>
      </c>
      <c r="B187" s="6" t="inlineStr">
        <is>
          <t>3157609</t>
        </is>
      </c>
      <c r="C187" s="4" t="inlineStr">
        <is>
          <t>Montes Claros</t>
        </is>
      </c>
      <c r="D187" s="16" t="n">
        <v>3522</v>
      </c>
      <c r="E187" s="8" t="n">
        <v>2917.448</v>
      </c>
      <c r="F187" s="7" t="n">
        <v>-16.733292</v>
      </c>
      <c r="G187" s="7" t="n">
        <v>-45.56520284</v>
      </c>
      <c r="H187" s="8" t="n">
        <v>235.5613</v>
      </c>
      <c r="I187" s="6" t="inlineStr">
        <is>
          <t>MÉDIO</t>
        </is>
      </c>
      <c r="J187" s="6" t="inlineStr">
        <is>
          <t>swine</t>
        </is>
      </c>
      <c r="K187" s="6" t="n">
        <v>8</v>
      </c>
    </row>
    <row r="188">
      <c r="A188" s="6" t="inlineStr">
        <is>
          <t>3168002</t>
        </is>
      </c>
      <c r="B188" s="6" t="inlineStr">
        <is>
          <t>3168002</t>
        </is>
      </c>
      <c r="C188" s="4" t="inlineStr">
        <is>
          <t>Montes Claros</t>
        </is>
      </c>
      <c r="D188" s="16" t="n">
        <v>33050</v>
      </c>
      <c r="E188" s="8" t="n">
        <v>1220.045</v>
      </c>
      <c r="F188" s="7" t="n">
        <v>-15.81835135</v>
      </c>
      <c r="G188" s="7" t="n">
        <v>-42.0664582</v>
      </c>
      <c r="H188" s="8" t="n">
        <v>235.2313</v>
      </c>
      <c r="I188" s="6" t="inlineStr">
        <is>
          <t>MÉDIO</t>
        </is>
      </c>
      <c r="J188" s="6" t="inlineStr">
        <is>
          <t>forestry</t>
        </is>
      </c>
      <c r="K188" s="6" t="n">
        <v>10</v>
      </c>
    </row>
    <row r="189">
      <c r="A189" s="6" t="inlineStr">
        <is>
          <t>3126703</t>
        </is>
      </c>
      <c r="B189" s="6" t="inlineStr">
        <is>
          <t>3126703</t>
        </is>
      </c>
      <c r="C189" s="4" t="inlineStr">
        <is>
          <t>Montes Claros</t>
        </is>
      </c>
      <c r="D189" s="16" t="n">
        <v>23476</v>
      </c>
      <c r="E189" s="8" t="n">
        <v>2747.295</v>
      </c>
      <c r="F189" s="7" t="n">
        <v>-16.443844</v>
      </c>
      <c r="G189" s="7" t="n">
        <v>-43.57065445</v>
      </c>
      <c r="H189" s="8" t="n">
        <v>231.1736</v>
      </c>
      <c r="I189" s="6" t="inlineStr">
        <is>
          <t>MÉDIO</t>
        </is>
      </c>
      <c r="J189" s="6" t="inlineStr">
        <is>
          <t>swine</t>
        </is>
      </c>
      <c r="K189" s="6" t="n">
        <v>8</v>
      </c>
    </row>
    <row r="190">
      <c r="A190" s="6" t="inlineStr">
        <is>
          <t>3131703</t>
        </is>
      </c>
      <c r="B190" s="6" t="inlineStr">
        <is>
          <t>3131703</t>
        </is>
      </c>
      <c r="C190" s="4" t="inlineStr">
        <is>
          <t>Belo Horizonte</t>
        </is>
      </c>
      <c r="D190" s="16" t="n">
        <v>113343</v>
      </c>
      <c r="E190" s="8" t="n">
        <v>1254.607</v>
      </c>
      <c r="F190" s="7" t="n">
        <v>-19.604071</v>
      </c>
      <c r="G190" s="7" t="n">
        <v>-43.30090352</v>
      </c>
      <c r="H190" s="8" t="n">
        <v>231.1402</v>
      </c>
      <c r="I190" s="6" t="inlineStr">
        <is>
          <t>MÉDIO</t>
        </is>
      </c>
      <c r="J190" s="6" t="inlineStr">
        <is>
          <t>forestry</t>
        </is>
      </c>
      <c r="K190" s="6" t="n">
        <v>10</v>
      </c>
    </row>
    <row r="191">
      <c r="A191" s="6" t="inlineStr">
        <is>
          <t>3168200</t>
        </is>
      </c>
      <c r="B191" s="6" t="inlineStr">
        <is>
          <t>3168200</t>
        </is>
      </c>
      <c r="C191" s="4" t="inlineStr">
        <is>
          <t>Divinópolis</t>
        </is>
      </c>
      <c r="D191" s="16" t="n">
        <v>1690</v>
      </c>
      <c r="E191" s="8" t="n">
        <v>407.92</v>
      </c>
      <c r="F191" s="7" t="n">
        <v>-19.874022</v>
      </c>
      <c r="G191" s="7" t="n">
        <v>-46.16441381</v>
      </c>
      <c r="H191" s="8" t="n">
        <v>230.06</v>
      </c>
      <c r="I191" s="6" t="inlineStr">
        <is>
          <t>MÉDIO</t>
        </is>
      </c>
      <c r="J191" s="6" t="inlineStr">
        <is>
          <t>swine</t>
        </is>
      </c>
      <c r="K191" s="6" t="n">
        <v>10</v>
      </c>
    </row>
    <row r="192">
      <c r="A192" s="6" t="inlineStr">
        <is>
          <t>3170479</t>
        </is>
      </c>
      <c r="B192" s="6" t="inlineStr">
        <is>
          <t>3170479</t>
        </is>
      </c>
      <c r="C192" s="4" t="inlineStr">
        <is>
          <t>Patos de Minas</t>
        </is>
      </c>
      <c r="D192" s="16" t="n">
        <v>3282</v>
      </c>
      <c r="E192" s="8" t="n">
        <v>598.221</v>
      </c>
      <c r="F192" s="7" t="n">
        <v>-16.0981655</v>
      </c>
      <c r="G192" s="7" t="n">
        <v>-46.31195685</v>
      </c>
      <c r="H192" s="8" t="n">
        <v>229.6435</v>
      </c>
      <c r="I192" s="6" t="inlineStr">
        <is>
          <t>MÉDIO</t>
        </is>
      </c>
      <c r="J192" s="6" t="inlineStr">
        <is>
          <t>swine</t>
        </is>
      </c>
      <c r="K192" s="6" t="n">
        <v>10</v>
      </c>
    </row>
    <row r="193">
      <c r="A193" s="6" t="inlineStr">
        <is>
          <t>3147709</t>
        </is>
      </c>
      <c r="B193" s="6" t="inlineStr">
        <is>
          <t>3147709</t>
        </is>
      </c>
      <c r="C193" s="4" t="inlineStr">
        <is>
          <t>Divinópolis</t>
        </is>
      </c>
      <c r="D193" s="16" t="n">
        <v>8473</v>
      </c>
      <c r="E193" s="8" t="n">
        <v>429.172</v>
      </c>
      <c r="F193" s="7" t="n">
        <v>-20.6499655</v>
      </c>
      <c r="G193" s="7" t="n">
        <v>-44.4848245</v>
      </c>
      <c r="H193" s="8" t="n">
        <v>228.0324</v>
      </c>
      <c r="I193" s="6" t="inlineStr">
        <is>
          <t>MÉDIO</t>
        </is>
      </c>
      <c r="J193" s="6" t="inlineStr">
        <is>
          <t>swine</t>
        </is>
      </c>
      <c r="K193" s="6" t="n">
        <v>10</v>
      </c>
    </row>
    <row r="194">
      <c r="A194" s="6" t="inlineStr">
        <is>
          <t>3115102</t>
        </is>
      </c>
      <c r="B194" s="6" t="inlineStr">
        <is>
          <t>3115102</t>
        </is>
      </c>
      <c r="C194" s="4" t="inlineStr">
        <is>
          <t>Varginha</t>
        </is>
      </c>
      <c r="D194" s="16" t="n">
        <v>17155</v>
      </c>
      <c r="E194" s="8" t="n">
        <v>665.802</v>
      </c>
      <c r="F194" s="7" t="n">
        <v>-20.55880465</v>
      </c>
      <c r="G194" s="7" t="n">
        <v>-46.92127364</v>
      </c>
      <c r="H194" s="8" t="n">
        <v>227.8506</v>
      </c>
      <c r="I194" s="6" t="inlineStr">
        <is>
          <t>MÉDIO</t>
        </is>
      </c>
      <c r="J194" s="6" t="inlineStr">
        <is>
          <t>swine</t>
        </is>
      </c>
      <c r="K194" s="6" t="n">
        <v>11</v>
      </c>
    </row>
    <row r="195">
      <c r="A195" s="6" t="inlineStr">
        <is>
          <t>3106309</t>
        </is>
      </c>
      <c r="B195" s="6" t="inlineStr">
        <is>
          <t>3106309</t>
        </is>
      </c>
      <c r="C195" s="4" t="inlineStr">
        <is>
          <t>Ipatinga</t>
        </is>
      </c>
      <c r="D195" s="16" t="n">
        <v>23928</v>
      </c>
      <c r="E195" s="8" t="n">
        <v>334.909</v>
      </c>
      <c r="F195" s="7" t="n">
        <v>-19.257651</v>
      </c>
      <c r="G195" s="7" t="n">
        <v>-42.44438659</v>
      </c>
      <c r="H195" s="8" t="n">
        <v>227.8186</v>
      </c>
      <c r="I195" s="6" t="inlineStr">
        <is>
          <t>MÉDIO</t>
        </is>
      </c>
      <c r="J195" s="6" t="inlineStr">
        <is>
          <t>forestry</t>
        </is>
      </c>
      <c r="K195" s="6" t="n">
        <v>9</v>
      </c>
    </row>
    <row r="196">
      <c r="A196" s="6" t="inlineStr">
        <is>
          <t>3109204</t>
        </is>
      </c>
      <c r="B196" s="6" t="inlineStr">
        <is>
          <t>3109204</t>
        </is>
      </c>
      <c r="C196" s="4" t="inlineStr">
        <is>
          <t>Belo Horizonte</t>
        </is>
      </c>
      <c r="D196" s="16" t="n">
        <v>9150</v>
      </c>
      <c r="E196" s="8" t="n">
        <v>1599.881</v>
      </c>
      <c r="F196" s="7" t="n">
        <v>-17.848214</v>
      </c>
      <c r="G196" s="7" t="n">
        <v>-43.95339577</v>
      </c>
      <c r="H196" s="8" t="n">
        <v>227.8129</v>
      </c>
      <c r="I196" s="6" t="inlineStr">
        <is>
          <t>MÉDIO</t>
        </is>
      </c>
      <c r="J196" s="6" t="inlineStr">
        <is>
          <t>swine</t>
        </is>
      </c>
      <c r="K196" s="6" t="n">
        <v>10</v>
      </c>
    </row>
    <row r="197">
      <c r="A197" s="6" t="inlineStr">
        <is>
          <t>3137403</t>
        </is>
      </c>
      <c r="B197" s="6" t="inlineStr">
        <is>
          <t>3137403</t>
        </is>
      </c>
      <c r="C197" s="4" t="inlineStr">
        <is>
          <t>Barbacena</t>
        </is>
      </c>
      <c r="D197" s="16" t="n">
        <v>12769</v>
      </c>
      <c r="E197" s="8" t="n">
        <v>476.693</v>
      </c>
      <c r="F197" s="7" t="n">
        <v>-20.8941065</v>
      </c>
      <c r="G197" s="7" t="n">
        <v>-44.06801644</v>
      </c>
      <c r="H197" s="8" t="n">
        <v>224.2729</v>
      </c>
      <c r="I197" s="6" t="inlineStr">
        <is>
          <t>MÉDIO</t>
        </is>
      </c>
      <c r="J197" s="6" t="inlineStr">
        <is>
          <t>corn</t>
        </is>
      </c>
      <c r="K197" s="6" t="n">
        <v>9</v>
      </c>
    </row>
    <row r="198">
      <c r="A198" s="6" t="inlineStr">
        <is>
          <t>3114501</t>
        </is>
      </c>
      <c r="B198" s="6" t="inlineStr">
        <is>
          <t>3114501</t>
        </is>
      </c>
      <c r="C198" s="4" t="inlineStr">
        <is>
          <t>Divinópolis</t>
        </is>
      </c>
      <c r="D198" s="16" t="n">
        <v>18003</v>
      </c>
      <c r="E198" s="8" t="n">
        <v>400.01</v>
      </c>
      <c r="F198" s="7" t="n">
        <v>-20.558306</v>
      </c>
      <c r="G198" s="7" t="n">
        <v>-44.6695919</v>
      </c>
      <c r="H198" s="8" t="n">
        <v>222.0961</v>
      </c>
      <c r="I198" s="6" t="inlineStr">
        <is>
          <t>MÉDIO</t>
        </is>
      </c>
      <c r="J198" s="6" t="inlineStr">
        <is>
          <t>swine</t>
        </is>
      </c>
      <c r="K198" s="6" t="n">
        <v>10</v>
      </c>
    </row>
    <row r="199">
      <c r="A199" s="6" t="inlineStr">
        <is>
          <t>3113404</t>
        </is>
      </c>
      <c r="B199" s="6" t="inlineStr">
        <is>
          <t>3113404</t>
        </is>
      </c>
      <c r="C199" s="4" t="inlineStr">
        <is>
          <t>Ipatinga</t>
        </is>
      </c>
      <c r="D199" s="16" t="n">
        <v>87360</v>
      </c>
      <c r="E199" s="8" t="n">
        <v>1258.748</v>
      </c>
      <c r="F199" s="7" t="n">
        <v>-19.688898</v>
      </c>
      <c r="G199" s="7" t="n">
        <v>-41.8872904</v>
      </c>
      <c r="H199" s="8" t="n">
        <v>220.4432</v>
      </c>
      <c r="I199" s="6" t="inlineStr">
        <is>
          <t>MÉDIO</t>
        </is>
      </c>
      <c r="J199" s="6" t="inlineStr">
        <is>
          <t>swine</t>
        </is>
      </c>
      <c r="K199" s="6" t="n">
        <v>10</v>
      </c>
    </row>
    <row r="200">
      <c r="A200" s="6" t="inlineStr">
        <is>
          <t>3119401</t>
        </is>
      </c>
      <c r="B200" s="6" t="inlineStr">
        <is>
          <t>3119401</t>
        </is>
      </c>
      <c r="C200" s="4" t="inlineStr">
        <is>
          <t>Ipatinga</t>
        </is>
      </c>
      <c r="D200" s="16" t="n">
        <v>104736</v>
      </c>
      <c r="E200" s="8" t="n">
        <v>221.881</v>
      </c>
      <c r="F200" s="7" t="n">
        <v>-19.440425</v>
      </c>
      <c r="G200" s="7" t="n">
        <v>-42.71855997</v>
      </c>
      <c r="H200" s="8" t="n">
        <v>219.9365</v>
      </c>
      <c r="I200" s="6" t="inlineStr">
        <is>
          <t>MÉDIO</t>
        </is>
      </c>
      <c r="J200" s="6" t="inlineStr">
        <is>
          <t>forestry</t>
        </is>
      </c>
      <c r="K200" s="6" t="n">
        <v>7</v>
      </c>
    </row>
    <row r="201">
      <c r="A201" s="6" t="inlineStr">
        <is>
          <t>3144607</t>
        </is>
      </c>
      <c r="B201" s="6" t="inlineStr">
        <is>
          <t>3144607</t>
        </is>
      </c>
      <c r="C201" s="4" t="inlineStr">
        <is>
          <t>Varginha</t>
        </is>
      </c>
      <c r="D201" s="16" t="n">
        <v>25018</v>
      </c>
      <c r="E201" s="8" t="n">
        <v>582.553</v>
      </c>
      <c r="F201" s="7" t="n">
        <v>-21.2103755</v>
      </c>
      <c r="G201" s="7" t="n">
        <v>-45.26303028</v>
      </c>
      <c r="H201" s="8" t="n">
        <v>216.0071</v>
      </c>
      <c r="I201" s="6" t="inlineStr">
        <is>
          <t>MÉDIO</t>
        </is>
      </c>
      <c r="J201" s="6" t="inlineStr">
        <is>
          <t>corn</t>
        </is>
      </c>
      <c r="K201" s="6" t="n">
        <v>12</v>
      </c>
    </row>
    <row r="202">
      <c r="A202" s="6" t="inlineStr">
        <is>
          <t>3109808</t>
        </is>
      </c>
      <c r="B202" s="6" t="inlineStr">
        <is>
          <t>3109808</t>
        </is>
      </c>
      <c r="C202" s="4" t="inlineStr">
        <is>
          <t>Uberlândia</t>
        </is>
      </c>
      <c r="D202" s="16" t="n">
        <v>2315</v>
      </c>
      <c r="E202" s="8" t="n">
        <v>203.07</v>
      </c>
      <c r="F202" s="7" t="n">
        <v>-18.595478</v>
      </c>
      <c r="G202" s="7" t="n">
        <v>-49.48915407</v>
      </c>
      <c r="H202" s="8" t="n">
        <v>212.9202</v>
      </c>
      <c r="I202" s="6" t="inlineStr">
        <is>
          <t>MÉDIO</t>
        </is>
      </c>
      <c r="J202" s="6" t="inlineStr">
        <is>
          <t>soybean</t>
        </is>
      </c>
      <c r="K202" s="6" t="n">
        <v>7</v>
      </c>
    </row>
    <row r="203">
      <c r="A203" s="6" t="inlineStr">
        <is>
          <t>3123601</t>
        </is>
      </c>
      <c r="B203" s="6" t="inlineStr">
        <is>
          <t>3123601</t>
        </is>
      </c>
      <c r="C203" s="4" t="inlineStr">
        <is>
          <t>Varginha</t>
        </is>
      </c>
      <c r="D203" s="16" t="n">
        <v>26336</v>
      </c>
      <c r="E203" s="8" t="n">
        <v>499.537</v>
      </c>
      <c r="F203" s="7" t="n">
        <v>-21.603624</v>
      </c>
      <c r="G203" s="7" t="n">
        <v>-45.58918109</v>
      </c>
      <c r="H203" s="8" t="n">
        <v>209.831</v>
      </c>
      <c r="I203" s="6" t="inlineStr">
        <is>
          <t>MÉDIO</t>
        </is>
      </c>
      <c r="J203" s="6" t="inlineStr">
        <is>
          <t>swine</t>
        </is>
      </c>
      <c r="K203" s="6" t="n">
        <v>12</v>
      </c>
    </row>
    <row r="204">
      <c r="A204" s="6" t="inlineStr">
        <is>
          <t>3125903</t>
        </is>
      </c>
      <c r="B204" s="6" t="inlineStr">
        <is>
          <t>3125903</t>
        </is>
      </c>
      <c r="C204" s="4" t="inlineStr">
        <is>
          <t>Belo Horizonte</t>
        </is>
      </c>
      <c r="D204" s="16" t="n">
        <v>9590</v>
      </c>
      <c r="E204" s="8" t="n">
        <v>1088.791</v>
      </c>
      <c r="F204" s="7" t="n">
        <v>-19.2472455</v>
      </c>
      <c r="G204" s="7" t="n">
        <v>-42.92230014</v>
      </c>
      <c r="H204" s="8" t="n">
        <v>209.7071</v>
      </c>
      <c r="I204" s="6" t="inlineStr">
        <is>
          <t>MÉDIO</t>
        </is>
      </c>
      <c r="J204" s="6" t="inlineStr">
        <is>
          <t>forestry</t>
        </is>
      </c>
      <c r="K204" s="6" t="n">
        <v>9</v>
      </c>
    </row>
    <row r="205">
      <c r="A205" s="6" t="inlineStr">
        <is>
          <t>3114006</t>
        </is>
      </c>
      <c r="B205" s="6" t="inlineStr">
        <is>
          <t>3114006</t>
        </is>
      </c>
      <c r="C205" s="4" t="inlineStr">
        <is>
          <t>Divinópolis</t>
        </is>
      </c>
      <c r="D205" s="16" t="n">
        <v>11019</v>
      </c>
      <c r="E205" s="8" t="n">
        <v>357.178</v>
      </c>
      <c r="F205" s="7" t="n">
        <v>-20.561025</v>
      </c>
      <c r="G205" s="7" t="n">
        <v>-44.88860898</v>
      </c>
      <c r="H205" s="8" t="n">
        <v>209.5291</v>
      </c>
      <c r="I205" s="6" t="inlineStr">
        <is>
          <t>MÉDIO</t>
        </is>
      </c>
      <c r="J205" s="6" t="inlineStr">
        <is>
          <t>swine</t>
        </is>
      </c>
      <c r="K205" s="6" t="n">
        <v>10</v>
      </c>
    </row>
    <row r="206">
      <c r="A206" s="6" t="inlineStr">
        <is>
          <t>3156007</t>
        </is>
      </c>
      <c r="B206" s="6" t="inlineStr">
        <is>
          <t>3156007</t>
        </is>
      </c>
      <c r="C206" s="4" t="inlineStr">
        <is>
          <t>Governador Valadares</t>
        </is>
      </c>
      <c r="D206" s="16" t="n">
        <v>12641</v>
      </c>
      <c r="E206" s="8" t="n">
        <v>987.246</v>
      </c>
      <c r="F206" s="7" t="n">
        <v>-18.248774</v>
      </c>
      <c r="G206" s="7" t="n">
        <v>-43.0753683</v>
      </c>
      <c r="H206" s="8" t="n">
        <v>208.7061</v>
      </c>
      <c r="I206" s="6" t="inlineStr">
        <is>
          <t>MÉDIO</t>
        </is>
      </c>
      <c r="J206" s="6" t="inlineStr">
        <is>
          <t>forestry</t>
        </is>
      </c>
      <c r="K206" s="6" t="n">
        <v>9</v>
      </c>
    </row>
    <row r="207">
      <c r="A207" s="6" t="inlineStr">
        <is>
          <t>3132008</t>
        </is>
      </c>
      <c r="B207" s="6" t="inlineStr">
        <is>
          <t>3132008</t>
        </is>
      </c>
      <c r="C207" s="4" t="inlineStr">
        <is>
          <t>Montes Claros</t>
        </is>
      </c>
      <c r="D207" s="16" t="n">
        <v>4252</v>
      </c>
      <c r="E207" s="8" t="n">
        <v>1788.445</v>
      </c>
      <c r="F207" s="7" t="n">
        <v>-16.910799</v>
      </c>
      <c r="G207" s="7" t="n">
        <v>-43.29532882</v>
      </c>
      <c r="H207" s="8" t="n">
        <v>208.4817</v>
      </c>
      <c r="I207" s="6" t="inlineStr">
        <is>
          <t>MÉDIO</t>
        </is>
      </c>
      <c r="J207" s="6" t="inlineStr">
        <is>
          <t>swine</t>
        </is>
      </c>
      <c r="K207" s="6" t="n">
        <v>10</v>
      </c>
    </row>
    <row r="208">
      <c r="A208" s="6" t="inlineStr">
        <is>
          <t>3101904</t>
        </is>
      </c>
      <c r="B208" s="6" t="inlineStr">
        <is>
          <t>3101904</t>
        </is>
      </c>
      <c r="C208" s="4" t="inlineStr">
        <is>
          <t>Varginha</t>
        </is>
      </c>
      <c r="D208" s="16" t="n">
        <v>18300</v>
      </c>
      <c r="E208" s="8" t="n">
        <v>460.685</v>
      </c>
      <c r="F208" s="7" t="n">
        <v>-20.82695345</v>
      </c>
      <c r="G208" s="7" t="n">
        <v>-46.37022386</v>
      </c>
      <c r="H208" s="8" t="n">
        <v>208.0976</v>
      </c>
      <c r="I208" s="6" t="inlineStr">
        <is>
          <t>MÉDIO</t>
        </is>
      </c>
      <c r="J208" s="6" t="inlineStr">
        <is>
          <t>swine</t>
        </is>
      </c>
      <c r="K208" s="6" t="n">
        <v>11</v>
      </c>
    </row>
    <row r="209">
      <c r="A209" s="6" t="inlineStr">
        <is>
          <t>3120805</t>
        </is>
      </c>
      <c r="B209" s="6" t="inlineStr">
        <is>
          <t>3120805</t>
        </is>
      </c>
      <c r="C209" s="4" t="inlineStr">
        <is>
          <t>Pouso Alegre</t>
        </is>
      </c>
      <c r="D209" s="16" t="n">
        <v>15362</v>
      </c>
      <c r="E209" s="8" t="n">
        <v>522.419</v>
      </c>
      <c r="F209" s="7" t="n">
        <v>-21.747826</v>
      </c>
      <c r="G209" s="7" t="n">
        <v>-44.79149471</v>
      </c>
      <c r="H209" s="8" t="n">
        <v>204.4399</v>
      </c>
      <c r="I209" s="6" t="inlineStr">
        <is>
          <t>MÉDIO</t>
        </is>
      </c>
      <c r="J209" s="6" t="inlineStr">
        <is>
          <t>forestry</t>
        </is>
      </c>
      <c r="K209" s="6" t="n">
        <v>12</v>
      </c>
    </row>
    <row r="210">
      <c r="A210" s="6" t="inlineStr">
        <is>
          <t>3121258</t>
        </is>
      </c>
      <c r="B210" s="6" t="inlineStr">
        <is>
          <t>3121258</t>
        </is>
      </c>
      <c r="C210" s="4" t="inlineStr">
        <is>
          <t>Uberaba</t>
        </is>
      </c>
      <c r="D210" s="16" t="n">
        <v>10494</v>
      </c>
      <c r="E210" s="8" t="n">
        <v>102.784</v>
      </c>
      <c r="F210" s="7" t="n">
        <v>-19.9308585</v>
      </c>
      <c r="G210" s="7" t="n">
        <v>-47.7971476</v>
      </c>
      <c r="H210" s="8" t="n">
        <v>204.1339</v>
      </c>
      <c r="I210" s="6" t="inlineStr">
        <is>
          <t>MÉDIO</t>
        </is>
      </c>
      <c r="J210" s="6" t="inlineStr">
        <is>
          <t>sugarcane</t>
        </is>
      </c>
      <c r="K210" s="6" t="n">
        <v>8</v>
      </c>
    </row>
    <row r="211">
      <c r="A211" s="6" t="inlineStr">
        <is>
          <t>3148905</t>
        </is>
      </c>
      <c r="B211" s="6" t="inlineStr">
        <is>
          <t>3148905</t>
        </is>
      </c>
      <c r="C211" s="4" t="inlineStr">
        <is>
          <t>Divinópolis</t>
        </is>
      </c>
      <c r="D211" s="16" t="n">
        <v>4112</v>
      </c>
      <c r="E211" s="8" t="n">
        <v>347.92</v>
      </c>
      <c r="F211" s="7" t="n">
        <v>-20.28881</v>
      </c>
      <c r="G211" s="7" t="n">
        <v>-45.22977407</v>
      </c>
      <c r="H211" s="8" t="n">
        <v>202.1282</v>
      </c>
      <c r="I211" s="6" t="inlineStr">
        <is>
          <t>MÉDIO</t>
        </is>
      </c>
      <c r="J211" s="6" t="inlineStr">
        <is>
          <t>swine</t>
        </is>
      </c>
      <c r="K211" s="6" t="n">
        <v>7</v>
      </c>
    </row>
    <row r="212">
      <c r="A212" s="6" t="inlineStr">
        <is>
          <t>3113909</t>
        </is>
      </c>
      <c r="B212" s="6" t="inlineStr">
        <is>
          <t>3113909</t>
        </is>
      </c>
      <c r="C212" s="4" t="inlineStr">
        <is>
          <t>Varginha</t>
        </is>
      </c>
      <c r="D212" s="16" t="n">
        <v>11547</v>
      </c>
      <c r="E212" s="8" t="n">
        <v>506.333</v>
      </c>
      <c r="F212" s="7" t="n">
        <v>-21.453956</v>
      </c>
      <c r="G212" s="7" t="n">
        <v>-45.1800767</v>
      </c>
      <c r="H212" s="8" t="n">
        <v>199.2111</v>
      </c>
      <c r="I212" s="6" t="inlineStr">
        <is>
          <t>MÉDIO</t>
        </is>
      </c>
      <c r="J212" s="6" t="inlineStr">
        <is>
          <t>corn</t>
        </is>
      </c>
      <c r="K212" s="6" t="n">
        <v>12</v>
      </c>
    </row>
    <row r="213">
      <c r="A213" s="6" t="inlineStr">
        <is>
          <t>3161205</t>
        </is>
      </c>
      <c r="B213" s="6" t="inlineStr">
        <is>
          <t>3161205</t>
        </is>
      </c>
      <c r="C213" s="4" t="inlineStr">
        <is>
          <t>Divinópolis</t>
        </is>
      </c>
      <c r="D213" s="16" t="n">
        <v>6187</v>
      </c>
      <c r="E213" s="8" t="n">
        <v>316.822</v>
      </c>
      <c r="F213" s="7" t="n">
        <v>-20.694529</v>
      </c>
      <c r="G213" s="7" t="n">
        <v>-44.99644277</v>
      </c>
      <c r="H213" s="8" t="n">
        <v>194.1651</v>
      </c>
      <c r="I213" s="6" t="inlineStr">
        <is>
          <t>MÉDIO</t>
        </is>
      </c>
      <c r="J213" s="6" t="inlineStr">
        <is>
          <t>swine</t>
        </is>
      </c>
      <c r="K213" s="6" t="n">
        <v>11</v>
      </c>
    </row>
    <row r="214">
      <c r="A214" s="6" t="inlineStr">
        <is>
          <t>3152105</t>
        </is>
      </c>
      <c r="B214" s="6" t="inlineStr">
        <is>
          <t>3152105</t>
        </is>
      </c>
      <c r="C214" s="4" t="inlineStr">
        <is>
          <t>Juíz de Fora</t>
        </is>
      </c>
      <c r="D214" s="16" t="n">
        <v>57776</v>
      </c>
      <c r="E214" s="8" t="n">
        <v>470.643</v>
      </c>
      <c r="F214" s="7" t="n">
        <v>-20.4207095</v>
      </c>
      <c r="G214" s="7" t="n">
        <v>-42.9248409</v>
      </c>
      <c r="H214" s="8" t="n">
        <v>194.1351</v>
      </c>
      <c r="I214" s="6" t="inlineStr">
        <is>
          <t>MÉDIO</t>
        </is>
      </c>
      <c r="J214" s="6" t="inlineStr">
        <is>
          <t>swine</t>
        </is>
      </c>
      <c r="K214" s="6" t="n">
        <v>10</v>
      </c>
    </row>
    <row r="215">
      <c r="A215" s="6" t="inlineStr">
        <is>
          <t>3135100</t>
        </is>
      </c>
      <c r="B215" s="6" t="inlineStr">
        <is>
          <t>3135100</t>
        </is>
      </c>
      <c r="C215" s="4" t="inlineStr">
        <is>
          <t>Montes Claros</t>
        </is>
      </c>
      <c r="D215" s="16" t="n">
        <v>70699</v>
      </c>
      <c r="E215" s="8" t="n">
        <v>2181.319</v>
      </c>
      <c r="F215" s="7" t="n">
        <v>-15.7300755</v>
      </c>
      <c r="G215" s="7" t="n">
        <v>-43.44145908</v>
      </c>
      <c r="H215" s="8" t="n">
        <v>191.7578</v>
      </c>
      <c r="I215" s="6" t="inlineStr">
        <is>
          <t>MÉDIO</t>
        </is>
      </c>
      <c r="J215" s="6" t="inlineStr">
        <is>
          <t>swine</t>
        </is>
      </c>
      <c r="K215" s="6" t="n">
        <v>8</v>
      </c>
    </row>
    <row r="216">
      <c r="A216" s="6" t="inlineStr">
        <is>
          <t>3111200</t>
        </is>
      </c>
      <c r="B216" s="6" t="inlineStr">
        <is>
          <t>3111200</t>
        </is>
      </c>
      <c r="C216" s="4" t="inlineStr">
        <is>
          <t>Varginha</t>
        </is>
      </c>
      <c r="D216" s="16" t="n">
        <v>52277</v>
      </c>
      <c r="E216" s="8" t="n">
        <v>528.225</v>
      </c>
      <c r="F216" s="7" t="n">
        <v>-20.9424515</v>
      </c>
      <c r="G216" s="7" t="n">
        <v>-45.25659619</v>
      </c>
      <c r="H216" s="8" t="n">
        <v>191.5086</v>
      </c>
      <c r="I216" s="6" t="inlineStr">
        <is>
          <t>MÉDIO</t>
        </is>
      </c>
      <c r="J216" s="6" t="inlineStr">
        <is>
          <t>corn</t>
        </is>
      </c>
      <c r="K216" s="6" t="n">
        <v>12</v>
      </c>
    </row>
    <row r="217">
      <c r="A217" s="6" t="inlineStr">
        <is>
          <t>3103405</t>
        </is>
      </c>
      <c r="B217" s="6" t="inlineStr">
        <is>
          <t>3103405</t>
        </is>
      </c>
      <c r="C217" s="4" t="inlineStr">
        <is>
          <t>Teófilo Otoni</t>
        </is>
      </c>
      <c r="D217" s="16" t="n">
        <v>34297</v>
      </c>
      <c r="E217" s="8" t="n">
        <v>2236.279</v>
      </c>
      <c r="F217" s="7" t="n">
        <v>-16.895471</v>
      </c>
      <c r="G217" s="7" t="n">
        <v>-41.95489169</v>
      </c>
      <c r="H217" s="8" t="n">
        <v>189.017</v>
      </c>
      <c r="I217" s="6" t="inlineStr">
        <is>
          <t>MÉDIO</t>
        </is>
      </c>
      <c r="J217" s="6" t="inlineStr">
        <is>
          <t>swine</t>
        </is>
      </c>
      <c r="K217" s="6" t="n">
        <v>9</v>
      </c>
    </row>
    <row r="218">
      <c r="A218" s="6" t="inlineStr">
        <is>
          <t>3101706</t>
        </is>
      </c>
      <c r="B218" s="6" t="inlineStr">
        <is>
          <t>3101706</t>
        </is>
      </c>
      <c r="C218" s="4" t="inlineStr">
        <is>
          <t>Teófilo Otoni</t>
        </is>
      </c>
      <c r="D218" s="16" t="n">
        <v>40364</v>
      </c>
      <c r="E218" s="8" t="n">
        <v>2294.426</v>
      </c>
      <c r="F218" s="7" t="n">
        <v>-16.130397</v>
      </c>
      <c r="G218" s="7" t="n">
        <v>-40.70034187</v>
      </c>
      <c r="H218" s="8" t="n">
        <v>188.8709</v>
      </c>
      <c r="I218" s="6" t="inlineStr">
        <is>
          <t>MÉDIO</t>
        </is>
      </c>
      <c r="J218" s="6" t="inlineStr">
        <is>
          <t>swine</t>
        </is>
      </c>
      <c r="K218" s="6" t="n">
        <v>9</v>
      </c>
    </row>
    <row r="219">
      <c r="A219" s="6" t="inlineStr">
        <is>
          <t>3162948</t>
        </is>
      </c>
      <c r="B219" s="6" t="inlineStr">
        <is>
          <t>3162948</t>
        </is>
      </c>
      <c r="C219" s="4" t="inlineStr">
        <is>
          <t>Varginha</t>
        </is>
      </c>
      <c r="D219" s="16" t="n">
        <v>7793</v>
      </c>
      <c r="E219" s="8" t="n">
        <v>308.319</v>
      </c>
      <c r="F219" s="7" t="n">
        <v>-20.7601795</v>
      </c>
      <c r="G219" s="7" t="n">
        <v>-46.22643691</v>
      </c>
      <c r="H219" s="8" t="n">
        <v>188.7341</v>
      </c>
      <c r="I219" s="6" t="inlineStr">
        <is>
          <t>MÉDIO</t>
        </is>
      </c>
      <c r="J219" s="6" t="inlineStr">
        <is>
          <t>corn</t>
        </is>
      </c>
      <c r="K219" s="6" t="n">
        <v>12</v>
      </c>
    </row>
    <row r="220">
      <c r="A220" s="6" t="inlineStr">
        <is>
          <t>3140852</t>
        </is>
      </c>
      <c r="B220" s="6" t="inlineStr">
        <is>
          <t>3140852</t>
        </is>
      </c>
      <c r="C220" s="4" t="inlineStr">
        <is>
          <t>Montes Claros</t>
        </is>
      </c>
      <c r="D220" s="16" t="n">
        <v>8895</v>
      </c>
      <c r="E220" s="8" t="n">
        <v>1940.597</v>
      </c>
      <c r="F220" s="7" t="n">
        <v>-14.837787</v>
      </c>
      <c r="G220" s="7" t="n">
        <v>-43.72052686</v>
      </c>
      <c r="H220" s="8" t="n">
        <v>188.1389</v>
      </c>
      <c r="I220" s="6" t="inlineStr">
        <is>
          <t>MÉDIO</t>
        </is>
      </c>
      <c r="J220" s="6" t="inlineStr">
        <is>
          <t>swine</t>
        </is>
      </c>
      <c r="K220" s="6" t="n">
        <v>10</v>
      </c>
    </row>
    <row r="221">
      <c r="A221" s="6" t="inlineStr">
        <is>
          <t>3164001</t>
        </is>
      </c>
      <c r="B221" s="6" t="inlineStr">
        <is>
          <t>3164001</t>
        </is>
      </c>
      <c r="C221" s="4" t="inlineStr">
        <is>
          <t>Juíz de Fora</t>
        </is>
      </c>
      <c r="D221" s="16" t="n">
        <v>7166</v>
      </c>
      <c r="E221" s="8" t="n">
        <v>402.739</v>
      </c>
      <c r="F221" s="7" t="n">
        <v>-20.0747535</v>
      </c>
      <c r="G221" s="7" t="n">
        <v>-42.57631265</v>
      </c>
      <c r="H221" s="8" t="n">
        <v>186.4157</v>
      </c>
      <c r="I221" s="6" t="inlineStr">
        <is>
          <t>MÉDIO</t>
        </is>
      </c>
      <c r="J221" s="6" t="inlineStr">
        <is>
          <t>sugarcane</t>
        </is>
      </c>
      <c r="K221" s="6" t="n">
        <v>9</v>
      </c>
    </row>
    <row r="222">
      <c r="A222" s="6" t="inlineStr">
        <is>
          <t>3153004</t>
        </is>
      </c>
      <c r="B222" s="6" t="inlineStr">
        <is>
          <t>3153004</t>
        </is>
      </c>
      <c r="C222" s="4" t="inlineStr">
        <is>
          <t>Uberaba</t>
        </is>
      </c>
      <c r="D222" s="16" t="n">
        <v>3559</v>
      </c>
      <c r="E222" s="8" t="n">
        <v>622.478</v>
      </c>
      <c r="F222" s="7" t="n">
        <v>-19.762837</v>
      </c>
      <c r="G222" s="7" t="n">
        <v>-46.38979619</v>
      </c>
      <c r="H222" s="8" t="n">
        <v>186.081</v>
      </c>
      <c r="I222" s="6" t="inlineStr">
        <is>
          <t>MÉDIO</t>
        </is>
      </c>
      <c r="J222" s="6" t="inlineStr">
        <is>
          <t>swine</t>
        </is>
      </c>
      <c r="K222" s="6" t="n">
        <v>10</v>
      </c>
    </row>
    <row r="223">
      <c r="A223" s="6" t="inlineStr">
        <is>
          <t>3120003</t>
        </is>
      </c>
      <c r="B223" s="6" t="inlineStr">
        <is>
          <t>3120003</t>
        </is>
      </c>
      <c r="C223" s="4" t="inlineStr">
        <is>
          <t>Ipatinga</t>
        </is>
      </c>
      <c r="D223" s="16" t="n">
        <v>2875</v>
      </c>
      <c r="E223" s="8" t="n">
        <v>205.385</v>
      </c>
      <c r="F223" s="7" t="n">
        <v>-19.834523</v>
      </c>
      <c r="G223" s="7" t="n">
        <v>-42.44410484</v>
      </c>
      <c r="H223" s="8" t="n">
        <v>185.8863</v>
      </c>
      <c r="I223" s="6" t="inlineStr">
        <is>
          <t>MÉDIO</t>
        </is>
      </c>
      <c r="J223" s="6" t="inlineStr">
        <is>
          <t>forestry</t>
        </is>
      </c>
      <c r="K223" s="6" t="n">
        <v>9</v>
      </c>
    </row>
    <row r="224">
      <c r="A224" s="6" t="inlineStr">
        <is>
          <t>3129707</t>
        </is>
      </c>
      <c r="B224" s="6" t="inlineStr">
        <is>
          <t>3129707</t>
        </is>
      </c>
      <c r="C224" s="4" t="inlineStr">
        <is>
          <t>Varginha</t>
        </is>
      </c>
      <c r="D224" s="16" t="n">
        <v>10948</v>
      </c>
      <c r="E224" s="8" t="n">
        <v>562.095</v>
      </c>
      <c r="F224" s="7" t="n">
        <v>-20.3897265</v>
      </c>
      <c r="G224" s="7" t="n">
        <v>-47.10507078</v>
      </c>
      <c r="H224" s="8" t="n">
        <v>184.7941</v>
      </c>
      <c r="I224" s="6" t="inlineStr">
        <is>
          <t>MÉDIO</t>
        </is>
      </c>
      <c r="J224" s="6" t="inlineStr">
        <is>
          <t>coffee</t>
        </is>
      </c>
      <c r="K224" s="6" t="n">
        <v>11</v>
      </c>
    </row>
    <row r="225">
      <c r="A225" s="6" t="inlineStr">
        <is>
          <t>3104304</t>
        </is>
      </c>
      <c r="B225" s="6" t="inlineStr">
        <is>
          <t>3104304</t>
        </is>
      </c>
      <c r="C225" s="4" t="inlineStr">
        <is>
          <t>Varginha</t>
        </is>
      </c>
      <c r="D225" s="16" t="n">
        <v>13881</v>
      </c>
      <c r="E225" s="8" t="n">
        <v>283.124</v>
      </c>
      <c r="F225" s="7" t="n">
        <v>-21.351271</v>
      </c>
      <c r="G225" s="7" t="n">
        <v>-46.11779703</v>
      </c>
      <c r="H225" s="8" t="n">
        <v>183.2863</v>
      </c>
      <c r="I225" s="6" t="inlineStr">
        <is>
          <t>MÉDIO</t>
        </is>
      </c>
      <c r="J225" s="6" t="inlineStr">
        <is>
          <t>sugarcane</t>
        </is>
      </c>
      <c r="K225" s="6" t="n">
        <v>11</v>
      </c>
    </row>
    <row r="226">
      <c r="A226" s="6" t="inlineStr">
        <is>
          <t>3110301</t>
        </is>
      </c>
      <c r="B226" s="6" t="inlineStr">
        <is>
          <t>3110301</t>
        </is>
      </c>
      <c r="C226" s="4" t="inlineStr">
        <is>
          <t>Pouso Alegre</t>
        </is>
      </c>
      <c r="D226" s="16" t="n">
        <v>14217</v>
      </c>
      <c r="E226" s="8" t="n">
        <v>711.414</v>
      </c>
      <c r="F226" s="7" t="n">
        <v>-21.8983805</v>
      </c>
      <c r="G226" s="7" t="n">
        <v>-46.34179435</v>
      </c>
      <c r="H226" s="8" t="n">
        <v>183.0671</v>
      </c>
      <c r="I226" s="6" t="inlineStr">
        <is>
          <t>MÉDIO</t>
        </is>
      </c>
      <c r="J226" s="6" t="inlineStr">
        <is>
          <t>swine</t>
        </is>
      </c>
      <c r="K226" s="6" t="n">
        <v>11</v>
      </c>
    </row>
    <row r="227">
      <c r="A227" s="6" t="inlineStr">
        <is>
          <t>3138708</t>
        </is>
      </c>
      <c r="B227" s="6" t="inlineStr">
        <is>
          <t>3138708</t>
        </is>
      </c>
      <c r="C227" s="4" t="inlineStr">
        <is>
          <t>Varginha</t>
        </is>
      </c>
      <c r="D227" s="16" t="n">
        <v>5586</v>
      </c>
      <c r="E227" s="8" t="n">
        <v>500.143</v>
      </c>
      <c r="F227" s="7" t="n">
        <v>-21.5233575</v>
      </c>
      <c r="G227" s="7" t="n">
        <v>-44.90319259</v>
      </c>
      <c r="H227" s="8" t="n">
        <v>182.4737</v>
      </c>
      <c r="I227" s="6" t="inlineStr">
        <is>
          <t>MÉDIO</t>
        </is>
      </c>
      <c r="J227" s="6" t="inlineStr">
        <is>
          <t>corn</t>
        </is>
      </c>
      <c r="K227" s="6" t="n">
        <v>11</v>
      </c>
    </row>
    <row r="228">
      <c r="A228" s="6" t="inlineStr">
        <is>
          <t>3138302</t>
        </is>
      </c>
      <c r="B228" s="6" t="inlineStr">
        <is>
          <t>3138302</t>
        </is>
      </c>
      <c r="C228" s="4" t="inlineStr">
        <is>
          <t>Divinópolis</t>
        </is>
      </c>
      <c r="D228" s="16" t="n">
        <v>3199</v>
      </c>
      <c r="E228" s="8" t="n">
        <v>352.005</v>
      </c>
      <c r="F228" s="7" t="n">
        <v>-19.6677615</v>
      </c>
      <c r="G228" s="7" t="n">
        <v>-45.03634351</v>
      </c>
      <c r="H228" s="8" t="n">
        <v>182.3407</v>
      </c>
      <c r="I228" s="6" t="inlineStr">
        <is>
          <t>MÉDIO</t>
        </is>
      </c>
      <c r="J228" s="6" t="inlineStr">
        <is>
          <t>swine</t>
        </is>
      </c>
      <c r="K228" s="6" t="n">
        <v>9</v>
      </c>
    </row>
    <row r="229">
      <c r="A229" s="6" t="inlineStr">
        <is>
          <t>3108008</t>
        </is>
      </c>
      <c r="B229" s="6" t="inlineStr">
        <is>
          <t>3108008</t>
        </is>
      </c>
      <c r="C229" s="4" t="inlineStr">
        <is>
          <t>Varginha</t>
        </is>
      </c>
      <c r="D229" s="16" t="n">
        <v>17151</v>
      </c>
      <c r="E229" s="8" t="n">
        <v>705.046</v>
      </c>
      <c r="F229" s="7" t="n">
        <v>-21.015308</v>
      </c>
      <c r="G229" s="7" t="n">
        <v>-44.79778288</v>
      </c>
      <c r="H229" s="8" t="n">
        <v>182.1532</v>
      </c>
      <c r="I229" s="6" t="inlineStr">
        <is>
          <t>MÉDIO</t>
        </is>
      </c>
      <c r="J229" s="6" t="inlineStr">
        <is>
          <t>swine</t>
        </is>
      </c>
      <c r="K229" s="6" t="n">
        <v>12</v>
      </c>
    </row>
    <row r="230">
      <c r="A230" s="6" t="inlineStr">
        <is>
          <t>3145208</t>
        </is>
      </c>
      <c r="B230" s="6" t="inlineStr">
        <is>
          <t>3145208</t>
        </is>
      </c>
      <c r="C230" s="4" t="inlineStr">
        <is>
          <t>Divinópolis</t>
        </is>
      </c>
      <c r="D230" s="16" t="n">
        <v>105552</v>
      </c>
      <c r="E230" s="8" t="n">
        <v>282.472</v>
      </c>
      <c r="F230" s="7" t="n">
        <v>-19.8590605</v>
      </c>
      <c r="G230" s="7" t="n">
        <v>-44.98109903</v>
      </c>
      <c r="H230" s="8" t="n">
        <v>181.7947</v>
      </c>
      <c r="I230" s="6" t="inlineStr">
        <is>
          <t>MÉDIO</t>
        </is>
      </c>
      <c r="J230" s="6" t="inlineStr">
        <is>
          <t>swine</t>
        </is>
      </c>
      <c r="K230" s="6" t="n">
        <v>8</v>
      </c>
    </row>
    <row r="231">
      <c r="A231" s="6" t="inlineStr">
        <is>
          <t>3165909</t>
        </is>
      </c>
      <c r="B231" s="6" t="inlineStr">
        <is>
          <t>3165909</t>
        </is>
      </c>
      <c r="C231" s="4" t="inlineStr">
        <is>
          <t>Teófilo Otoni</t>
        </is>
      </c>
      <c r="D231" s="16" t="n">
        <v>4008</v>
      </c>
      <c r="E231" s="8" t="n">
        <v>952.0549999999999</v>
      </c>
      <c r="F231" s="7" t="n">
        <v>-17.8352225</v>
      </c>
      <c r="G231" s="7" t="n">
        <v>-43.25503339</v>
      </c>
      <c r="H231" s="8" t="n">
        <v>181.5637</v>
      </c>
      <c r="I231" s="6" t="inlineStr">
        <is>
          <t>MÉDIO</t>
        </is>
      </c>
      <c r="J231" s="6" t="inlineStr">
        <is>
          <t>forestry</t>
        </is>
      </c>
      <c r="K231" s="6" t="n">
        <v>10</v>
      </c>
    </row>
    <row r="232">
      <c r="A232" s="6" t="inlineStr">
        <is>
          <t>3170503</t>
        </is>
      </c>
      <c r="B232" s="6" t="inlineStr">
        <is>
          <t>3170503</t>
        </is>
      </c>
      <c r="C232" s="4" t="inlineStr">
        <is>
          <t>Juíz de Fora</t>
        </is>
      </c>
      <c r="D232" s="16" t="n">
        <v>10600</v>
      </c>
      <c r="E232" s="8" t="n">
        <v>138.792</v>
      </c>
      <c r="F232" s="7" t="n">
        <v>-20.3325655</v>
      </c>
      <c r="G232" s="7" t="n">
        <v>-42.73900402</v>
      </c>
      <c r="H232" s="8" t="n">
        <v>181.5618</v>
      </c>
      <c r="I232" s="6" t="inlineStr">
        <is>
          <t>MÉDIO</t>
        </is>
      </c>
      <c r="J232" s="6" t="inlineStr">
        <is>
          <t>sugarcane</t>
        </is>
      </c>
      <c r="K232" s="6" t="n">
        <v>8</v>
      </c>
    </row>
    <row r="233">
      <c r="A233" s="6" t="inlineStr">
        <is>
          <t>3157203</t>
        </is>
      </c>
      <c r="B233" s="6" t="inlineStr">
        <is>
          <t>3157203</t>
        </is>
      </c>
      <c r="C233" s="4" t="inlineStr">
        <is>
          <t>Belo Horizonte</t>
        </is>
      </c>
      <c r="D233" s="16" t="n">
        <v>30466</v>
      </c>
      <c r="E233" s="8" t="n">
        <v>684.505</v>
      </c>
      <c r="F233" s="7" t="n">
        <v>-20.0536185</v>
      </c>
      <c r="G233" s="7" t="n">
        <v>-43.58788963</v>
      </c>
      <c r="H233" s="8" t="n">
        <v>179.7025</v>
      </c>
      <c r="I233" s="6" t="inlineStr">
        <is>
          <t>MÉDIO</t>
        </is>
      </c>
      <c r="J233" s="6" t="inlineStr">
        <is>
          <t>forestry</t>
        </is>
      </c>
      <c r="K233" s="6" t="n">
        <v>9</v>
      </c>
    </row>
    <row r="234">
      <c r="A234" s="6" t="inlineStr">
        <is>
          <t>3111002</t>
        </is>
      </c>
      <c r="B234" s="6" t="inlineStr">
        <is>
          <t>3111002</t>
        </is>
      </c>
      <c r="C234" s="4" t="inlineStr">
        <is>
          <t>Pouso Alegre</t>
        </is>
      </c>
      <c r="D234" s="16" t="n">
        <v>20696</v>
      </c>
      <c r="E234" s="8" t="n">
        <v>577.843</v>
      </c>
      <c r="F234" s="7" t="n">
        <v>-21.716301</v>
      </c>
      <c r="G234" s="7" t="n">
        <v>-46.23295798</v>
      </c>
      <c r="H234" s="8" t="n">
        <v>179.1838</v>
      </c>
      <c r="I234" s="6" t="inlineStr">
        <is>
          <t>MÉDIO</t>
        </is>
      </c>
      <c r="J234" s="6" t="inlineStr">
        <is>
          <t>swine</t>
        </is>
      </c>
      <c r="K234" s="6" t="n">
        <v>12</v>
      </c>
    </row>
    <row r="235">
      <c r="A235" s="6" t="inlineStr">
        <is>
          <t>3106705</t>
        </is>
      </c>
      <c r="B235" s="6" t="inlineStr">
        <is>
          <t>3106705</t>
        </is>
      </c>
      <c r="C235" s="4" t="inlineStr">
        <is>
          <t>Belo Horizonte</t>
        </is>
      </c>
      <c r="D235" s="16" t="n">
        <v>411846</v>
      </c>
      <c r="E235" s="8" t="n">
        <v>344.076</v>
      </c>
      <c r="F235" s="7" t="n">
        <v>-19.94178005</v>
      </c>
      <c r="G235" s="7" t="n">
        <v>-44.19543631</v>
      </c>
      <c r="H235" s="8" t="n">
        <v>178.0418</v>
      </c>
      <c r="I235" s="6" t="inlineStr">
        <is>
          <t>MÉDIO</t>
        </is>
      </c>
      <c r="J235" s="6" t="inlineStr">
        <is>
          <t>rsu_organic</t>
        </is>
      </c>
      <c r="K235" s="6" t="n">
        <v>8</v>
      </c>
    </row>
    <row r="236">
      <c r="A236" s="6" t="inlineStr">
        <is>
          <t>3157005</t>
        </is>
      </c>
      <c r="B236" s="6" t="inlineStr">
        <is>
          <t>3157005</t>
        </is>
      </c>
      <c r="C236" s="4" t="inlineStr">
        <is>
          <t>Montes Claros</t>
        </is>
      </c>
      <c r="D236" s="16" t="n">
        <v>40178</v>
      </c>
      <c r="E236" s="8" t="n">
        <v>1862.117</v>
      </c>
      <c r="F236" s="7" t="n">
        <v>-16.0855905</v>
      </c>
      <c r="G236" s="7" t="n">
        <v>-42.11103247</v>
      </c>
      <c r="H236" s="8" t="n">
        <v>177.6881</v>
      </c>
      <c r="I236" s="6" t="inlineStr">
        <is>
          <t>MÉDIO</t>
        </is>
      </c>
      <c r="J236" s="6" t="inlineStr">
        <is>
          <t>swine</t>
        </is>
      </c>
      <c r="K236" s="6" t="n">
        <v>10</v>
      </c>
    </row>
    <row r="237">
      <c r="A237" s="6" t="inlineStr">
        <is>
          <t>3117504</t>
        </is>
      </c>
      <c r="B237" s="6" t="inlineStr">
        <is>
          <t>3117504</t>
        </is>
      </c>
      <c r="C237" s="4" t="inlineStr">
        <is>
          <t>Belo Horizonte</t>
        </is>
      </c>
      <c r="D237" s="16" t="n">
        <v>23163</v>
      </c>
      <c r="E237" s="8" t="n">
        <v>1720.04</v>
      </c>
      <c r="F237" s="7" t="n">
        <v>-18.9325565</v>
      </c>
      <c r="G237" s="7" t="n">
        <v>-43.49774407</v>
      </c>
      <c r="H237" s="8" t="n">
        <v>175.8877</v>
      </c>
      <c r="I237" s="6" t="inlineStr">
        <is>
          <t>MÉDIO</t>
        </is>
      </c>
      <c r="J237" s="6" t="inlineStr">
        <is>
          <t>swine</t>
        </is>
      </c>
      <c r="K237" s="6" t="n">
        <v>9</v>
      </c>
    </row>
    <row r="238">
      <c r="A238" s="6" t="inlineStr">
        <is>
          <t>3162005</t>
        </is>
      </c>
      <c r="B238" s="6" t="inlineStr">
        <is>
          <t>3162005</t>
        </is>
      </c>
      <c r="C238" s="4" t="inlineStr">
        <is>
          <t>Varginha</t>
        </is>
      </c>
      <c r="D238" s="16" t="n">
        <v>23959</v>
      </c>
      <c r="E238" s="8" t="n">
        <v>516.683</v>
      </c>
      <c r="F238" s="7" t="n">
        <v>-21.9039425</v>
      </c>
      <c r="G238" s="7" t="n">
        <v>-45.6111921</v>
      </c>
      <c r="H238" s="8" t="n">
        <v>175.7317</v>
      </c>
      <c r="I238" s="6" t="inlineStr">
        <is>
          <t>MÉDIO</t>
        </is>
      </c>
      <c r="J238" s="6" t="inlineStr">
        <is>
          <t>swine</t>
        </is>
      </c>
      <c r="K238" s="6" t="n">
        <v>11</v>
      </c>
    </row>
    <row r="239">
      <c r="A239" s="6" t="inlineStr">
        <is>
          <t>3152501</t>
        </is>
      </c>
      <c r="B239" s="6" t="inlineStr">
        <is>
          <t>3152501</t>
        </is>
      </c>
      <c r="C239" s="4" t="inlineStr">
        <is>
          <t>Pouso Alegre</t>
        </is>
      </c>
      <c r="D239" s="16" t="n">
        <v>152217</v>
      </c>
      <c r="E239" s="8" t="n">
        <v>542.797</v>
      </c>
      <c r="F239" s="7" t="n">
        <v>-22.2620755</v>
      </c>
      <c r="G239" s="7" t="n">
        <v>-45.95290362</v>
      </c>
      <c r="H239" s="8" t="n">
        <v>173.5911</v>
      </c>
      <c r="I239" s="6" t="inlineStr">
        <is>
          <t>MÉDIO</t>
        </is>
      </c>
      <c r="J239" s="6" t="inlineStr">
        <is>
          <t>swine</t>
        </is>
      </c>
      <c r="K239" s="6" t="n">
        <v>11</v>
      </c>
    </row>
    <row r="240">
      <c r="A240" s="6" t="inlineStr">
        <is>
          <t>3151909</t>
        </is>
      </c>
      <c r="B240" s="6" t="inlineStr">
        <is>
          <t>3151909</t>
        </is>
      </c>
      <c r="C240" s="4" t="inlineStr">
        <is>
          <t>Juíz de Fora</t>
        </is>
      </c>
      <c r="D240" s="16" t="n">
        <v>8350</v>
      </c>
      <c r="E240" s="8" t="n">
        <v>691.066</v>
      </c>
      <c r="F240" s="7" t="n">
        <v>-19.5552245</v>
      </c>
      <c r="G240" s="7" t="n">
        <v>-41.55162767</v>
      </c>
      <c r="H240" s="8" t="n">
        <v>172.7375</v>
      </c>
      <c r="I240" s="6" t="inlineStr">
        <is>
          <t>MÉDIO</t>
        </is>
      </c>
      <c r="J240" s="6" t="inlineStr">
        <is>
          <t>swine</t>
        </is>
      </c>
      <c r="K240" s="6" t="n">
        <v>10</v>
      </c>
    </row>
    <row r="241">
      <c r="A241" s="6" t="inlineStr">
        <is>
          <t>3166600</t>
        </is>
      </c>
      <c r="B241" s="6" t="inlineStr">
        <is>
          <t>3166600</t>
        </is>
      </c>
      <c r="C241" s="4" t="inlineStr">
        <is>
          <t>Divinópolis</t>
        </is>
      </c>
      <c r="D241" s="16" t="n">
        <v>833</v>
      </c>
      <c r="E241" s="8" t="n">
        <v>335.659</v>
      </c>
      <c r="F241" s="7" t="n">
        <v>-19.3765325</v>
      </c>
      <c r="G241" s="7" t="n">
        <v>-45.76925909</v>
      </c>
      <c r="H241" s="8" t="n">
        <v>171.6649</v>
      </c>
      <c r="I241" s="6" t="inlineStr">
        <is>
          <t>MÉDIO</t>
        </is>
      </c>
      <c r="J241" s="6" t="inlineStr">
        <is>
          <t>swine</t>
        </is>
      </c>
      <c r="K241" s="6" t="n">
        <v>7</v>
      </c>
    </row>
    <row r="242">
      <c r="A242" s="6" t="inlineStr">
        <is>
          <t>3160702</t>
        </is>
      </c>
      <c r="B242" s="6" t="inlineStr">
        <is>
          <t>3160702</t>
        </is>
      </c>
      <c r="C242" s="4" t="inlineStr">
        <is>
          <t>Juíz de Fora</t>
        </is>
      </c>
      <c r="D242" s="16" t="n">
        <v>42406</v>
      </c>
      <c r="E242" s="8" t="n">
        <v>637.373</v>
      </c>
      <c r="F242" s="7" t="n">
        <v>-21.4815795</v>
      </c>
      <c r="G242" s="7" t="n">
        <v>-43.51740006</v>
      </c>
      <c r="H242" s="8" t="n">
        <v>170.3897</v>
      </c>
      <c r="I242" s="6" t="inlineStr">
        <is>
          <t>MÉDIO</t>
        </is>
      </c>
      <c r="J242" s="6" t="inlineStr">
        <is>
          <t>swine</t>
        </is>
      </c>
      <c r="K242" s="6" t="n">
        <v>8</v>
      </c>
    </row>
    <row r="243">
      <c r="A243" s="6" t="inlineStr">
        <is>
          <t>3167608</t>
        </is>
      </c>
      <c r="B243" s="6" t="inlineStr">
        <is>
          <t>3167608</t>
        </is>
      </c>
      <c r="C243" s="4" t="inlineStr">
        <is>
          <t>Juíz de Fora</t>
        </is>
      </c>
      <c r="D243" s="16" t="n">
        <v>19750</v>
      </c>
      <c r="E243" s="8" t="n">
        <v>486.543</v>
      </c>
      <c r="F243" s="7" t="n">
        <v>-19.99985315</v>
      </c>
      <c r="G243" s="7" t="n">
        <v>-42.04544482</v>
      </c>
      <c r="H243" s="8" t="n">
        <v>167.6887</v>
      </c>
      <c r="I243" s="6" t="inlineStr">
        <is>
          <t>MÉDIO</t>
        </is>
      </c>
      <c r="J243" s="6" t="inlineStr">
        <is>
          <t>swine</t>
        </is>
      </c>
      <c r="K243" s="6" t="n">
        <v>10</v>
      </c>
    </row>
    <row r="244">
      <c r="A244" s="6" t="inlineStr">
        <is>
          <t>3135506</t>
        </is>
      </c>
      <c r="B244" s="6" t="inlineStr">
        <is>
          <t>3135506</t>
        </is>
      </c>
      <c r="C244" s="4" t="inlineStr">
        <is>
          <t>Juíz de Fora</t>
        </is>
      </c>
      <c r="D244" s="16" t="n">
        <v>12419</v>
      </c>
      <c r="E244" s="8" t="n">
        <v>547.897</v>
      </c>
      <c r="F244" s="7" t="n">
        <v>-20.475413</v>
      </c>
      <c r="G244" s="7" t="n">
        <v>-42.62768848</v>
      </c>
      <c r="H244" s="8" t="n">
        <v>167.2714</v>
      </c>
      <c r="I244" s="6" t="inlineStr">
        <is>
          <t>MÉDIO</t>
        </is>
      </c>
      <c r="J244" s="6" t="inlineStr">
        <is>
          <t>swine</t>
        </is>
      </c>
      <c r="K244" s="6" t="n">
        <v>9</v>
      </c>
    </row>
    <row r="245">
      <c r="A245" s="6" t="inlineStr">
        <is>
          <t>3145802</t>
        </is>
      </c>
      <c r="B245" s="6" t="inlineStr">
        <is>
          <t>3145802</t>
        </is>
      </c>
      <c r="C245" s="4" t="inlineStr">
        <is>
          <t>Divinópolis</t>
        </is>
      </c>
      <c r="D245" s="16" t="n">
        <v>2969</v>
      </c>
      <c r="E245" s="8" t="n">
        <v>246.976</v>
      </c>
      <c r="F245" s="7" t="n">
        <v>-19.698496</v>
      </c>
      <c r="G245" s="7" t="n">
        <v>-44.73419787</v>
      </c>
      <c r="H245" s="8" t="n">
        <v>166.8331</v>
      </c>
      <c r="I245" s="6" t="inlineStr">
        <is>
          <t>MÉDIO</t>
        </is>
      </c>
      <c r="J245" s="6" t="inlineStr">
        <is>
          <t>swine</t>
        </is>
      </c>
      <c r="K245" s="6" t="n">
        <v>8</v>
      </c>
    </row>
    <row r="246">
      <c r="A246" s="6" t="inlineStr">
        <is>
          <t>3159209</t>
        </is>
      </c>
      <c r="B246" s="6" t="inlineStr">
        <is>
          <t>3159209</t>
        </is>
      </c>
      <c r="C246" s="4" t="inlineStr">
        <is>
          <t>Pouso Alegre</t>
        </is>
      </c>
      <c r="D246" s="16" t="n">
        <v>8460</v>
      </c>
      <c r="E246" s="8" t="n">
        <v>503.011</v>
      </c>
      <c r="F246" s="7" t="n">
        <v>-22.019591</v>
      </c>
      <c r="G246" s="7" t="n">
        <v>-46.28813344</v>
      </c>
      <c r="H246" s="8" t="n">
        <v>166.2173</v>
      </c>
      <c r="I246" s="6" t="inlineStr">
        <is>
          <t>MÉDIO</t>
        </is>
      </c>
      <c r="J246" s="6" t="inlineStr">
        <is>
          <t>swine</t>
        </is>
      </c>
      <c r="K246" s="6" t="n">
        <v>12</v>
      </c>
    </row>
    <row r="247">
      <c r="A247" s="6" t="inlineStr">
        <is>
          <t>3145307</t>
        </is>
      </c>
      <c r="B247" s="6" t="inlineStr">
        <is>
          <t>3145307</t>
        </is>
      </c>
      <c r="C247" s="4" t="inlineStr">
        <is>
          <t>Teófilo Otoni</t>
        </is>
      </c>
      <c r="D247" s="16" t="n">
        <v>26975</v>
      </c>
      <c r="E247" s="8" t="n">
        <v>1702.981</v>
      </c>
      <c r="F247" s="7" t="n">
        <v>-17.364717</v>
      </c>
      <c r="G247" s="7" t="n">
        <v>-41.91915227</v>
      </c>
      <c r="H247" s="8" t="n">
        <v>165.8652</v>
      </c>
      <c r="I247" s="6" t="inlineStr">
        <is>
          <t>MÉDIO</t>
        </is>
      </c>
      <c r="J247" s="6" t="inlineStr">
        <is>
          <t>swine</t>
        </is>
      </c>
      <c r="K247" s="6" t="n">
        <v>10</v>
      </c>
    </row>
    <row r="248">
      <c r="A248" s="6" t="inlineStr">
        <is>
          <t>3137700</t>
        </is>
      </c>
      <c r="B248" s="6" t="inlineStr">
        <is>
          <t>3137700</t>
        </is>
      </c>
      <c r="C248" s="4" t="inlineStr">
        <is>
          <t>Juíz de Fora</t>
        </is>
      </c>
      <c r="D248" s="16" t="n">
        <v>20835</v>
      </c>
      <c r="E248" s="8" t="n">
        <v>431.92</v>
      </c>
      <c r="F248" s="7" t="n">
        <v>-20.1203355</v>
      </c>
      <c r="G248" s="7" t="n">
        <v>-41.59481169</v>
      </c>
      <c r="H248" s="8" t="n">
        <v>165.3206</v>
      </c>
      <c r="I248" s="6" t="inlineStr">
        <is>
          <t>MÉDIO</t>
        </is>
      </c>
      <c r="J248" s="6" t="inlineStr">
        <is>
          <t>swine</t>
        </is>
      </c>
      <c r="K248" s="6" t="n">
        <v>10</v>
      </c>
    </row>
    <row r="249">
      <c r="A249" s="6" t="inlineStr">
        <is>
          <t>3162401</t>
        </is>
      </c>
      <c r="B249" s="6" t="inlineStr">
        <is>
          <t>3162401</t>
        </is>
      </c>
      <c r="C249" s="4" t="inlineStr">
        <is>
          <t>Montes Claros</t>
        </is>
      </c>
      <c r="D249" s="16" t="n">
        <v>23930</v>
      </c>
      <c r="E249" s="8" t="n">
        <v>1851.102</v>
      </c>
      <c r="F249" s="7" t="n">
        <v>-15.911867</v>
      </c>
      <c r="G249" s="7" t="n">
        <v>-43.90762307</v>
      </c>
      <c r="H249" s="8" t="n">
        <v>164.5486</v>
      </c>
      <c r="I249" s="6" t="inlineStr">
        <is>
          <t>MÉDIO</t>
        </is>
      </c>
      <c r="J249" s="6" t="inlineStr">
        <is>
          <t>swine</t>
        </is>
      </c>
      <c r="K249" s="6" t="n">
        <v>9</v>
      </c>
    </row>
    <row r="250">
      <c r="A250" s="6" t="inlineStr">
        <is>
          <t>3108503</t>
        </is>
      </c>
      <c r="B250" s="6" t="inlineStr">
        <is>
          <t>3108503</t>
        </is>
      </c>
      <c r="C250" s="4" t="inlineStr">
        <is>
          <t>Montes Claros</t>
        </is>
      </c>
      <c r="D250" s="16" t="n">
        <v>5790</v>
      </c>
      <c r="E250" s="8" t="n">
        <v>1568.884</v>
      </c>
      <c r="F250" s="7" t="n">
        <v>-16.951162</v>
      </c>
      <c r="G250" s="7" t="n">
        <v>-42.95138604</v>
      </c>
      <c r="H250" s="8" t="n">
        <v>163.4645</v>
      </c>
      <c r="I250" s="6" t="inlineStr">
        <is>
          <t>MÉDIO</t>
        </is>
      </c>
      <c r="J250" s="6" t="inlineStr">
        <is>
          <t>swine</t>
        </is>
      </c>
      <c r="K250" s="6" t="n">
        <v>10</v>
      </c>
    </row>
    <row r="251">
      <c r="A251" s="6" t="inlineStr">
        <is>
          <t>3170701</t>
        </is>
      </c>
      <c r="B251" s="6" t="inlineStr">
        <is>
          <t>3170701</t>
        </is>
      </c>
      <c r="C251" s="4" t="inlineStr">
        <is>
          <t>Varginha</t>
        </is>
      </c>
      <c r="D251" s="16" t="n">
        <v>136467</v>
      </c>
      <c r="E251" s="8" t="n">
        <v>395.396</v>
      </c>
      <c r="F251" s="7" t="n">
        <v>-21.5715515</v>
      </c>
      <c r="G251" s="7" t="n">
        <v>-45.40369365</v>
      </c>
      <c r="H251" s="8" t="n">
        <v>163.0861</v>
      </c>
      <c r="I251" s="6" t="inlineStr">
        <is>
          <t>MÉDIO</t>
        </is>
      </c>
      <c r="J251" s="6" t="inlineStr">
        <is>
          <t>rsu_organic</t>
        </is>
      </c>
      <c r="K251" s="6" t="n">
        <v>12</v>
      </c>
    </row>
    <row r="252">
      <c r="A252" s="6" t="inlineStr">
        <is>
          <t>3134509</t>
        </is>
      </c>
      <c r="B252" s="6" t="inlineStr">
        <is>
          <t>3134509</t>
        </is>
      </c>
      <c r="C252" s="4" t="inlineStr">
        <is>
          <t>Varginha</t>
        </is>
      </c>
      <c r="D252" s="16" t="n">
        <v>4217</v>
      </c>
      <c r="E252" s="8" t="n">
        <v>372.018</v>
      </c>
      <c r="F252" s="7" t="n">
        <v>-21.3407085</v>
      </c>
      <c r="G252" s="7" t="n">
        <v>-44.69285222</v>
      </c>
      <c r="H252" s="8" t="n">
        <v>162.3056</v>
      </c>
      <c r="I252" s="6" t="inlineStr">
        <is>
          <t>MÉDIO</t>
        </is>
      </c>
      <c r="J252" s="6" t="inlineStr">
        <is>
          <t>corn</t>
        </is>
      </c>
      <c r="K252" s="6" t="n">
        <v>10</v>
      </c>
    </row>
    <row r="253">
      <c r="A253" s="6" t="inlineStr">
        <is>
          <t>3102605</t>
        </is>
      </c>
      <c r="B253" s="6" t="inlineStr">
        <is>
          <t>3102605</t>
        </is>
      </c>
      <c r="C253" s="4" t="inlineStr">
        <is>
          <t>Pouso Alegre</t>
        </is>
      </c>
      <c r="D253" s="16" t="n">
        <v>40553</v>
      </c>
      <c r="E253" s="8" t="n">
        <v>469.396</v>
      </c>
      <c r="F253" s="7" t="n">
        <v>-22.057444</v>
      </c>
      <c r="G253" s="7" t="n">
        <v>-46.55935112</v>
      </c>
      <c r="H253" s="8" t="n">
        <v>160.9023</v>
      </c>
      <c r="I253" s="6" t="inlineStr">
        <is>
          <t>MÉDIO</t>
        </is>
      </c>
      <c r="J253" s="6" t="inlineStr">
        <is>
          <t>swine</t>
        </is>
      </c>
      <c r="K253" s="6" t="n">
        <v>11</v>
      </c>
    </row>
    <row r="254">
      <c r="A254" s="6" t="inlineStr">
        <is>
          <t>3146107</t>
        </is>
      </c>
      <c r="B254" s="6" t="inlineStr">
        <is>
          <t>3146107</t>
        </is>
      </c>
      <c r="C254" s="4" t="inlineStr">
        <is>
          <t>Belo Horizonte</t>
        </is>
      </c>
      <c r="D254" s="16" t="n">
        <v>74821</v>
      </c>
      <c r="E254" s="8" t="n">
        <v>1246.068</v>
      </c>
      <c r="F254" s="7" t="n">
        <v>-20.3966125</v>
      </c>
      <c r="G254" s="7" t="n">
        <v>-43.70232485</v>
      </c>
      <c r="H254" s="8" t="n">
        <v>160.8848</v>
      </c>
      <c r="I254" s="6" t="inlineStr">
        <is>
          <t>MÉDIO</t>
        </is>
      </c>
      <c r="J254" s="6" t="inlineStr">
        <is>
          <t>swine</t>
        </is>
      </c>
      <c r="K254" s="6" t="n">
        <v>10</v>
      </c>
    </row>
    <row r="255">
      <c r="A255" s="6" t="inlineStr">
        <is>
          <t>3133709</t>
        </is>
      </c>
      <c r="B255" s="6" t="inlineStr">
        <is>
          <t>3133709</t>
        </is>
      </c>
      <c r="C255" s="4" t="inlineStr">
        <is>
          <t>Divinópolis</t>
        </is>
      </c>
      <c r="D255" s="16" t="n">
        <v>12966</v>
      </c>
      <c r="E255" s="8" t="n">
        <v>294.181</v>
      </c>
      <c r="F255" s="7" t="n">
        <v>-20.20608</v>
      </c>
      <c r="G255" s="7" t="n">
        <v>-44.45393393</v>
      </c>
      <c r="H255" s="8" t="n">
        <v>160.1626</v>
      </c>
      <c r="I255" s="6" t="inlineStr">
        <is>
          <t>MÉDIO</t>
        </is>
      </c>
      <c r="J255" s="6" t="inlineStr">
        <is>
          <t>swine</t>
        </is>
      </c>
      <c r="K255" s="6" t="n">
        <v>9</v>
      </c>
    </row>
    <row r="256">
      <c r="A256" s="6" t="inlineStr">
        <is>
          <t>3105608</t>
        </is>
      </c>
      <c r="B256" s="6" t="inlineStr">
        <is>
          <t>3105608</t>
        </is>
      </c>
      <c r="C256" s="4" t="inlineStr">
        <is>
          <t>Barbacena</t>
        </is>
      </c>
      <c r="D256" s="16" t="n">
        <v>125317</v>
      </c>
      <c r="E256" s="8" t="n">
        <v>759.186</v>
      </c>
      <c r="F256" s="7" t="n">
        <v>-21.252517</v>
      </c>
      <c r="G256" s="7" t="n">
        <v>-43.81188747</v>
      </c>
      <c r="H256" s="8" t="n">
        <v>158.9102</v>
      </c>
      <c r="I256" s="6" t="inlineStr">
        <is>
          <t>MÉDIO</t>
        </is>
      </c>
      <c r="J256" s="6" t="inlineStr">
        <is>
          <t>swine</t>
        </is>
      </c>
      <c r="K256" s="6" t="n">
        <v>8</v>
      </c>
    </row>
    <row r="257">
      <c r="A257" s="6" t="inlineStr">
        <is>
          <t>3145109</t>
        </is>
      </c>
      <c r="B257" s="6" t="inlineStr">
        <is>
          <t>3145109</t>
        </is>
      </c>
      <c r="C257" s="4" t="inlineStr">
        <is>
          <t>Varginha</t>
        </is>
      </c>
      <c r="D257" s="16" t="n">
        <v>16387</v>
      </c>
      <c r="E257" s="8" t="n">
        <v>390.152</v>
      </c>
      <c r="F257" s="7" t="n">
        <v>-21.083064</v>
      </c>
      <c r="G257" s="7" t="n">
        <v>-46.43764659</v>
      </c>
      <c r="H257" s="8" t="n">
        <v>158.3586</v>
      </c>
      <c r="I257" s="6" t="inlineStr">
        <is>
          <t>MÉDIO</t>
        </is>
      </c>
      <c r="J257" s="6" t="inlineStr">
        <is>
          <t>coffee</t>
        </is>
      </c>
      <c r="K257" s="6" t="n">
        <v>12</v>
      </c>
    </row>
    <row r="258">
      <c r="A258" s="6" t="inlineStr">
        <is>
          <t>3108107</t>
        </is>
      </c>
      <c r="B258" s="6" t="inlineStr">
        <is>
          <t>3108107</t>
        </is>
      </c>
      <c r="C258" s="4" t="inlineStr">
        <is>
          <t>Divinópolis</t>
        </is>
      </c>
      <c r="D258" s="16" t="n">
        <v>7434</v>
      </c>
      <c r="E258" s="8" t="n">
        <v>300.471</v>
      </c>
      <c r="F258" s="7" t="n">
        <v>-20.3207805</v>
      </c>
      <c r="G258" s="7" t="n">
        <v>-44.2109273</v>
      </c>
      <c r="H258" s="8" t="n">
        <v>158.0681</v>
      </c>
      <c r="I258" s="6" t="inlineStr">
        <is>
          <t>MÉDIO</t>
        </is>
      </c>
      <c r="J258" s="6" t="inlineStr">
        <is>
          <t>swine</t>
        </is>
      </c>
      <c r="K258" s="6" t="n">
        <v>9</v>
      </c>
    </row>
    <row r="259">
      <c r="A259" s="6" t="inlineStr">
        <is>
          <t>3144375</t>
        </is>
      </c>
      <c r="B259" s="6" t="inlineStr">
        <is>
          <t>3144375</t>
        </is>
      </c>
      <c r="C259" s="4" t="inlineStr">
        <is>
          <t>Patos de Minas</t>
        </is>
      </c>
      <c r="D259" s="16" t="n">
        <v>3520</v>
      </c>
      <c r="E259" s="8" t="n">
        <v>468.66</v>
      </c>
      <c r="F259" s="7" t="n">
        <v>-16.538829</v>
      </c>
      <c r="G259" s="7" t="n">
        <v>-46.47461641</v>
      </c>
      <c r="H259" s="8" t="n">
        <v>157.8172</v>
      </c>
      <c r="I259" s="6" t="inlineStr">
        <is>
          <t>MÉDIO</t>
        </is>
      </c>
      <c r="J259" s="6" t="inlineStr">
        <is>
          <t>swine</t>
        </is>
      </c>
      <c r="K259" s="6" t="n">
        <v>10</v>
      </c>
    </row>
    <row r="260">
      <c r="A260" s="6" t="inlineStr">
        <is>
          <t>3113206</t>
        </is>
      </c>
      <c r="B260" s="6" t="inlineStr">
        <is>
          <t>3113206</t>
        </is>
      </c>
      <c r="C260" s="4" t="inlineStr">
        <is>
          <t>Barbacena</t>
        </is>
      </c>
      <c r="D260" s="16" t="n">
        <v>23812</v>
      </c>
      <c r="E260" s="8" t="n">
        <v>487.28</v>
      </c>
      <c r="F260" s="7" t="n">
        <v>-20.999575</v>
      </c>
      <c r="G260" s="7" t="n">
        <v>-43.84194369</v>
      </c>
      <c r="H260" s="8" t="n">
        <v>157.5693</v>
      </c>
      <c r="I260" s="6" t="inlineStr">
        <is>
          <t>MÉDIO</t>
        </is>
      </c>
      <c r="J260" s="6" t="inlineStr">
        <is>
          <t>corn</t>
        </is>
      </c>
      <c r="K260" s="6" t="n">
        <v>11</v>
      </c>
    </row>
    <row r="261">
      <c r="A261" s="6" t="inlineStr">
        <is>
          <t>3146008</t>
        </is>
      </c>
      <c r="B261" s="6" t="inlineStr">
        <is>
          <t>3146008</t>
        </is>
      </c>
      <c r="C261" s="4" t="inlineStr">
        <is>
          <t>Pouso Alegre</t>
        </is>
      </c>
      <c r="D261" s="16" t="n">
        <v>32094</v>
      </c>
      <c r="E261" s="8" t="n">
        <v>533.7140000000001</v>
      </c>
      <c r="F261" s="7" t="n">
        <v>-22.2668335</v>
      </c>
      <c r="G261" s="7" t="n">
        <v>-46.36321416</v>
      </c>
      <c r="H261" s="8" t="n">
        <v>157.33</v>
      </c>
      <c r="I261" s="6" t="inlineStr">
        <is>
          <t>MÉDIO</t>
        </is>
      </c>
      <c r="J261" s="6" t="inlineStr">
        <is>
          <t>swine</t>
        </is>
      </c>
      <c r="K261" s="6" t="n">
        <v>12</v>
      </c>
    </row>
    <row r="262">
      <c r="A262" s="6" t="inlineStr">
        <is>
          <t>3139300</t>
        </is>
      </c>
      <c r="B262" s="6" t="inlineStr">
        <is>
          <t>3139300</t>
        </is>
      </c>
      <c r="C262" s="4" t="inlineStr">
        <is>
          <t>Montes Claros</t>
        </is>
      </c>
      <c r="D262" s="16" t="n">
        <v>18886</v>
      </c>
      <c r="E262" s="8" t="n">
        <v>1950.184</v>
      </c>
      <c r="F262" s="7" t="n">
        <v>-14.669907</v>
      </c>
      <c r="G262" s="7" t="n">
        <v>-44.13032075</v>
      </c>
      <c r="H262" s="8" t="n">
        <v>156.6451</v>
      </c>
      <c r="I262" s="6" t="inlineStr">
        <is>
          <t>MÉDIO</t>
        </is>
      </c>
      <c r="J262" s="6" t="inlineStr">
        <is>
          <t>swine</t>
        </is>
      </c>
      <c r="K262" s="6" t="n">
        <v>7</v>
      </c>
    </row>
    <row r="263">
      <c r="A263" s="6" t="inlineStr">
        <is>
          <t>3124302</t>
        </is>
      </c>
      <c r="B263" s="6" t="inlineStr">
        <is>
          <t>3124302</t>
        </is>
      </c>
      <c r="C263" s="4" t="inlineStr">
        <is>
          <t>Montes Claros</t>
        </is>
      </c>
      <c r="D263" s="16" t="n">
        <v>30443</v>
      </c>
      <c r="E263" s="8" t="n">
        <v>1868.97</v>
      </c>
      <c r="F263" s="7" t="n">
        <v>-14.9046515</v>
      </c>
      <c r="G263" s="7" t="n">
        <v>-42.79308354</v>
      </c>
      <c r="H263" s="8" t="n">
        <v>154.7573</v>
      </c>
      <c r="I263" s="6" t="inlineStr">
        <is>
          <t>MÉDIO</t>
        </is>
      </c>
      <c r="J263" s="6" t="inlineStr">
        <is>
          <t>swine</t>
        </is>
      </c>
      <c r="K263" s="6" t="n">
        <v>8</v>
      </c>
    </row>
    <row r="264">
      <c r="A264" s="6" t="inlineStr">
        <is>
          <t>3171808</t>
        </is>
      </c>
      <c r="B264" s="6" t="inlineStr">
        <is>
          <t>3171808</t>
        </is>
      </c>
      <c r="C264" s="4" t="inlineStr">
        <is>
          <t>Governador Valadares</t>
        </is>
      </c>
      <c r="D264" s="16" t="n">
        <v>10314</v>
      </c>
      <c r="E264" s="8" t="n">
        <v>439.878</v>
      </c>
      <c r="F264" s="7" t="n">
        <v>-18.800936</v>
      </c>
      <c r="G264" s="7" t="n">
        <v>-42.69918806</v>
      </c>
      <c r="H264" s="8" t="n">
        <v>154.3167</v>
      </c>
      <c r="I264" s="6" t="inlineStr">
        <is>
          <t>MÉDIO</t>
        </is>
      </c>
      <c r="J264" s="6" t="inlineStr">
        <is>
          <t>forestry</t>
        </is>
      </c>
      <c r="K264" s="6" t="n">
        <v>9</v>
      </c>
    </row>
    <row r="265">
      <c r="A265" s="6" t="inlineStr">
        <is>
          <t>3141900</t>
        </is>
      </c>
      <c r="B265" s="6" t="inlineStr">
        <is>
          <t>3141900</t>
        </is>
      </c>
      <c r="C265" s="4" t="inlineStr">
        <is>
          <t>Pouso Alegre</t>
        </is>
      </c>
      <c r="D265" s="16" t="n">
        <v>3741</v>
      </c>
      <c r="E265" s="8" t="n">
        <v>219.774</v>
      </c>
      <c r="F265" s="7" t="n">
        <v>-21.674923</v>
      </c>
      <c r="G265" s="7" t="n">
        <v>-44.62619483</v>
      </c>
      <c r="H265" s="8" t="n">
        <v>153.8731</v>
      </c>
      <c r="I265" s="6" t="inlineStr">
        <is>
          <t>MÉDIO</t>
        </is>
      </c>
      <c r="J265" s="6" t="inlineStr">
        <is>
          <t>corn</t>
        </is>
      </c>
      <c r="K265" s="6" t="n">
        <v>12</v>
      </c>
    </row>
    <row r="266">
      <c r="A266" s="6" t="inlineStr">
        <is>
          <t>3115300</t>
        </is>
      </c>
      <c r="B266" s="6" t="inlineStr">
        <is>
          <t>3115300</t>
        </is>
      </c>
      <c r="C266" s="4" t="inlineStr">
        <is>
          <t>Juíz de Fora</t>
        </is>
      </c>
      <c r="D266" s="16" t="n">
        <v>66261</v>
      </c>
      <c r="E266" s="8" t="n">
        <v>491.767</v>
      </c>
      <c r="F266" s="7" t="n">
        <v>-21.3320205</v>
      </c>
      <c r="G266" s="7" t="n">
        <v>-42.69863735</v>
      </c>
      <c r="H266" s="8" t="n">
        <v>152.9851</v>
      </c>
      <c r="I266" s="6" t="inlineStr">
        <is>
          <t>MÉDIO</t>
        </is>
      </c>
      <c r="J266" s="6" t="inlineStr">
        <is>
          <t>swine</t>
        </is>
      </c>
      <c r="K266" s="6" t="n">
        <v>9</v>
      </c>
    </row>
    <row r="267">
      <c r="A267" s="6" t="inlineStr">
        <is>
          <t>3150604</t>
        </is>
      </c>
      <c r="B267" s="6" t="inlineStr">
        <is>
          <t>3150604</t>
        </is>
      </c>
      <c r="C267" s="4" t="inlineStr">
        <is>
          <t>Divinópolis</t>
        </is>
      </c>
      <c r="D267" s="16" t="n">
        <v>6700</v>
      </c>
      <c r="E267" s="8" t="n">
        <v>280.335</v>
      </c>
      <c r="F267" s="7" t="n">
        <v>-20.5199385</v>
      </c>
      <c r="G267" s="7" t="n">
        <v>-44.43154867</v>
      </c>
      <c r="H267" s="8" t="n">
        <v>151.6405</v>
      </c>
      <c r="I267" s="6" t="inlineStr">
        <is>
          <t>MÉDIO</t>
        </is>
      </c>
      <c r="J267" s="6" t="inlineStr">
        <is>
          <t>swine</t>
        </is>
      </c>
      <c r="K267" s="6" t="n">
        <v>10</v>
      </c>
    </row>
    <row r="268">
      <c r="A268" s="6" t="inlineStr">
        <is>
          <t>3142403</t>
        </is>
      </c>
      <c r="B268" s="6" t="inlineStr">
        <is>
          <t>3142403</t>
        </is>
      </c>
      <c r="C268" s="4" t="inlineStr">
        <is>
          <t>Divinópolis</t>
        </is>
      </c>
      <c r="D268" s="16" t="n">
        <v>7548</v>
      </c>
      <c r="E268" s="8" t="n">
        <v>202.705</v>
      </c>
      <c r="F268" s="7" t="n">
        <v>-19.8447985</v>
      </c>
      <c r="G268" s="7" t="n">
        <v>-45.43437279</v>
      </c>
      <c r="H268" s="8" t="n">
        <v>151.1831</v>
      </c>
      <c r="I268" s="6" t="inlineStr">
        <is>
          <t>MÉDIO</t>
        </is>
      </c>
      <c r="J268" s="6" t="inlineStr">
        <is>
          <t>swine</t>
        </is>
      </c>
      <c r="K268" s="6" t="n">
        <v>9</v>
      </c>
    </row>
    <row r="269">
      <c r="A269" s="6" t="inlineStr">
        <is>
          <t>3130804</t>
        </is>
      </c>
      <c r="B269" s="6" t="inlineStr">
        <is>
          <t>3130804</t>
        </is>
      </c>
      <c r="C269" s="4" t="inlineStr">
        <is>
          <t>Varginha</t>
        </is>
      </c>
      <c r="D269" s="16" t="n">
        <v>2580</v>
      </c>
      <c r="E269" s="8" t="n">
        <v>305.591</v>
      </c>
      <c r="F269" s="7" t="n">
        <v>-21.4241385</v>
      </c>
      <c r="G269" s="7" t="n">
        <v>-44.92150257</v>
      </c>
      <c r="H269" s="8" t="n">
        <v>150.4785</v>
      </c>
      <c r="I269" s="6" t="inlineStr">
        <is>
          <t>MÉDIO</t>
        </is>
      </c>
      <c r="J269" s="6" t="inlineStr">
        <is>
          <t>corn</t>
        </is>
      </c>
      <c r="K269" s="6" t="n">
        <v>10</v>
      </c>
    </row>
    <row r="270">
      <c r="A270" s="6" t="inlineStr">
        <is>
          <t>3100500</t>
        </is>
      </c>
      <c r="B270" s="6" t="inlineStr">
        <is>
          <t>3100500</t>
        </is>
      </c>
      <c r="C270" s="4" t="inlineStr">
        <is>
          <t>Ipatinga</t>
        </is>
      </c>
      <c r="D270" s="16" t="n">
        <v>8943</v>
      </c>
      <c r="E270" s="8" t="n">
        <v>815.422</v>
      </c>
      <c r="F270" s="7" t="n">
        <v>-19.075666</v>
      </c>
      <c r="G270" s="7" t="n">
        <v>-42.46702422</v>
      </c>
      <c r="H270" s="8" t="n">
        <v>149.5705</v>
      </c>
      <c r="I270" s="6" t="inlineStr">
        <is>
          <t>MÉDIO</t>
        </is>
      </c>
      <c r="J270" s="6" t="inlineStr">
        <is>
          <t>forestry</t>
        </is>
      </c>
      <c r="K270" s="6" t="n">
        <v>9</v>
      </c>
    </row>
    <row r="271">
      <c r="A271" s="6" t="inlineStr">
        <is>
          <t>3118403</t>
        </is>
      </c>
      <c r="B271" s="6" t="inlineStr">
        <is>
          <t>3118403</t>
        </is>
      </c>
      <c r="C271" s="4" t="inlineStr">
        <is>
          <t>Governador Valadares</t>
        </is>
      </c>
      <c r="D271" s="16" t="n">
        <v>20824</v>
      </c>
      <c r="E271" s="8" t="n">
        <v>1466.367</v>
      </c>
      <c r="F271" s="7" t="n">
        <v>-19.17364949</v>
      </c>
      <c r="G271" s="7" t="n">
        <v>-41.48048345</v>
      </c>
      <c r="H271" s="8" t="n">
        <v>149.1588</v>
      </c>
      <c r="I271" s="6" t="inlineStr">
        <is>
          <t>MÉDIO</t>
        </is>
      </c>
      <c r="J271" s="6" t="inlineStr">
        <is>
          <t>swine</t>
        </is>
      </c>
      <c r="K271" s="6" t="n">
        <v>10</v>
      </c>
    </row>
    <row r="272">
      <c r="A272" s="6" t="inlineStr">
        <is>
          <t>3161809</t>
        </is>
      </c>
      <c r="B272" s="6" t="inlineStr">
        <is>
          <t>3161809</t>
        </is>
      </c>
      <c r="C272" s="4" t="inlineStr">
        <is>
          <t>Divinópolis</t>
        </is>
      </c>
      <c r="D272" s="16" t="n">
        <v>11770</v>
      </c>
      <c r="E272" s="8" t="n">
        <v>265.73</v>
      </c>
      <c r="F272" s="7" t="n">
        <v>-19.97263</v>
      </c>
      <c r="G272" s="7" t="n">
        <v>-44.83026413</v>
      </c>
      <c r="H272" s="8" t="n">
        <v>148.4619</v>
      </c>
      <c r="I272" s="6" t="inlineStr">
        <is>
          <t>MÉDIO</t>
        </is>
      </c>
      <c r="J272" s="6" t="inlineStr">
        <is>
          <t>swine</t>
        </is>
      </c>
      <c r="K272" s="6" t="n">
        <v>8</v>
      </c>
    </row>
    <row r="273">
      <c r="A273" s="6" t="inlineStr">
        <is>
          <t>3140001</t>
        </is>
      </c>
      <c r="B273" s="6" t="inlineStr">
        <is>
          <t>3140001</t>
        </is>
      </c>
      <c r="C273" s="4" t="inlineStr">
        <is>
          <t>Belo Horizonte</t>
        </is>
      </c>
      <c r="D273" s="16" t="n">
        <v>61387</v>
      </c>
      <c r="E273" s="8" t="n">
        <v>1194.208</v>
      </c>
      <c r="F273" s="7" t="n">
        <v>-20.33594</v>
      </c>
      <c r="G273" s="7" t="n">
        <v>-43.3021995</v>
      </c>
      <c r="H273" s="8" t="n">
        <v>148.0358</v>
      </c>
      <c r="I273" s="6" t="inlineStr">
        <is>
          <t>MÉDIO</t>
        </is>
      </c>
      <c r="J273" s="6" t="inlineStr">
        <is>
          <t>swine</t>
        </is>
      </c>
      <c r="K273" s="6" t="n">
        <v>10</v>
      </c>
    </row>
    <row r="274">
      <c r="A274" s="6" t="inlineStr">
        <is>
          <t>3152204</t>
        </is>
      </c>
      <c r="B274" s="6" t="inlineStr">
        <is>
          <t>3152204</t>
        </is>
      </c>
      <c r="C274" s="4" t="inlineStr">
        <is>
          <t>Montes Claros</t>
        </is>
      </c>
      <c r="D274" s="16" t="n">
        <v>37438</v>
      </c>
      <c r="E274" s="8" t="n">
        <v>1749.683</v>
      </c>
      <c r="F274" s="7" t="n">
        <v>-15.746902</v>
      </c>
      <c r="G274" s="7" t="n">
        <v>-43.07277931</v>
      </c>
      <c r="H274" s="8" t="n">
        <v>147.3064</v>
      </c>
      <c r="I274" s="6" t="inlineStr">
        <is>
          <t>MÉDIO</t>
        </is>
      </c>
      <c r="J274" s="6" t="inlineStr">
        <is>
          <t>swine</t>
        </is>
      </c>
      <c r="K274" s="6" t="n">
        <v>8</v>
      </c>
    </row>
    <row r="275">
      <c r="A275" s="6" t="inlineStr">
        <is>
          <t>3104908</t>
        </is>
      </c>
      <c r="B275" s="6" t="inlineStr">
        <is>
          <t>3104908</t>
        </is>
      </c>
      <c r="C275" s="4" t="inlineStr">
        <is>
          <t>Pouso Alegre</t>
        </is>
      </c>
      <c r="D275" s="16" t="n">
        <v>18366</v>
      </c>
      <c r="E275" s="8" t="n">
        <v>750.554</v>
      </c>
      <c r="F275" s="7" t="n">
        <v>-22.0162435</v>
      </c>
      <c r="G275" s="7" t="n">
        <v>-44.80956803</v>
      </c>
      <c r="H275" s="8" t="n">
        <v>147.0846</v>
      </c>
      <c r="I275" s="6" t="inlineStr">
        <is>
          <t>MÉDIO</t>
        </is>
      </c>
      <c r="J275" s="6" t="inlineStr">
        <is>
          <t>swine</t>
        </is>
      </c>
      <c r="K275" s="6" t="n">
        <v>11</v>
      </c>
    </row>
    <row r="276">
      <c r="A276" s="6" t="inlineStr">
        <is>
          <t>3169901</t>
        </is>
      </c>
      <c r="B276" s="6" t="inlineStr">
        <is>
          <t>3169901</t>
        </is>
      </c>
      <c r="C276" s="4" t="inlineStr">
        <is>
          <t>Juíz de Fora</t>
        </is>
      </c>
      <c r="D276" s="16" t="n">
        <v>103365</v>
      </c>
      <c r="E276" s="8" t="n">
        <v>407.452</v>
      </c>
      <c r="F276" s="7" t="n">
        <v>-21.1113225</v>
      </c>
      <c r="G276" s="7" t="n">
        <v>-42.95390218</v>
      </c>
      <c r="H276" s="8" t="n">
        <v>146.0235</v>
      </c>
      <c r="I276" s="6" t="inlineStr">
        <is>
          <t>MÉDIO</t>
        </is>
      </c>
      <c r="J276" s="6" t="inlineStr">
        <is>
          <t>swine</t>
        </is>
      </c>
      <c r="K276" s="6" t="n">
        <v>10</v>
      </c>
    </row>
    <row r="277">
      <c r="A277" s="6" t="inlineStr">
        <is>
          <t>3104700</t>
        </is>
      </c>
      <c r="B277" s="6" t="inlineStr">
        <is>
          <t>3104700</t>
        </is>
      </c>
      <c r="C277" s="4" t="inlineStr">
        <is>
          <t>Teófilo Otoni</t>
        </is>
      </c>
      <c r="D277" s="16" t="n">
        <v>13736</v>
      </c>
      <c r="E277" s="8" t="n">
        <v>1836.933</v>
      </c>
      <c r="F277" s="7" t="n">
        <v>-18.216021</v>
      </c>
      <c r="G277" s="7" t="n">
        <v>-41.25529392</v>
      </c>
      <c r="H277" s="8" t="n">
        <v>146.006</v>
      </c>
      <c r="I277" s="6" t="inlineStr">
        <is>
          <t>MÉDIO</t>
        </is>
      </c>
      <c r="J277" s="6" t="inlineStr">
        <is>
          <t>swine</t>
        </is>
      </c>
      <c r="K277" s="6" t="n">
        <v>10</v>
      </c>
    </row>
    <row r="278">
      <c r="A278" s="6" t="inlineStr">
        <is>
          <t>3115607</t>
        </is>
      </c>
      <c r="B278" s="6" t="inlineStr">
        <is>
          <t>3115607</t>
        </is>
      </c>
      <c r="C278" s="4" t="inlineStr">
        <is>
          <t>Divinópolis</t>
        </is>
      </c>
      <c r="D278" s="16" t="n">
        <v>1081</v>
      </c>
      <c r="E278" s="8" t="n">
        <v>283.211</v>
      </c>
      <c r="F278" s="7" t="n">
        <v>-19.1070235</v>
      </c>
      <c r="G278" s="7" t="n">
        <v>-45.70613615</v>
      </c>
      <c r="H278" s="8" t="n">
        <v>145.4557</v>
      </c>
      <c r="I278" s="6" t="inlineStr">
        <is>
          <t>MÉDIO</t>
        </is>
      </c>
      <c r="J278" s="6" t="inlineStr">
        <is>
          <t>swine</t>
        </is>
      </c>
      <c r="K278" s="6" t="n">
        <v>7</v>
      </c>
    </row>
    <row r="279">
      <c r="A279" s="6" t="inlineStr">
        <is>
          <t>3159902</t>
        </is>
      </c>
      <c r="B279" s="6" t="inlineStr">
        <is>
          <t>3159902</t>
        </is>
      </c>
      <c r="C279" s="4" t="inlineStr">
        <is>
          <t>Varginha</t>
        </is>
      </c>
      <c r="D279" s="16" t="n">
        <v>17285</v>
      </c>
      <c r="E279" s="8" t="n">
        <v>488.885</v>
      </c>
      <c r="F279" s="7" t="n">
        <v>-20.9176475</v>
      </c>
      <c r="G279" s="7" t="n">
        <v>-44.9241627</v>
      </c>
      <c r="H279" s="8" t="n">
        <v>143.4677</v>
      </c>
      <c r="I279" s="6" t="inlineStr">
        <is>
          <t>MÉDIO</t>
        </is>
      </c>
      <c r="J279" s="6" t="inlineStr">
        <is>
          <t>swine</t>
        </is>
      </c>
      <c r="K279" s="6" t="n">
        <v>12</v>
      </c>
    </row>
    <row r="280">
      <c r="A280" s="6" t="inlineStr">
        <is>
          <t>3158953</t>
        </is>
      </c>
      <c r="B280" s="6" t="inlineStr">
        <is>
          <t>3158953</t>
        </is>
      </c>
      <c r="C280" s="4" t="inlineStr">
        <is>
          <t>Ipatinga</t>
        </is>
      </c>
      <c r="D280" s="16" t="n">
        <v>44800</v>
      </c>
      <c r="E280" s="8" t="n">
        <v>275.575</v>
      </c>
      <c r="F280" s="7" t="n">
        <v>-19.3914225</v>
      </c>
      <c r="G280" s="7" t="n">
        <v>-42.50443551</v>
      </c>
      <c r="H280" s="8" t="n">
        <v>143.161</v>
      </c>
      <c r="I280" s="6" t="inlineStr">
        <is>
          <t>MÉDIO</t>
        </is>
      </c>
      <c r="J280" s="6" t="inlineStr">
        <is>
          <t>forestry</t>
        </is>
      </c>
      <c r="K280" s="6" t="n">
        <v>9</v>
      </c>
    </row>
    <row r="281">
      <c r="A281" s="6" t="inlineStr">
        <is>
          <t>3100302</t>
        </is>
      </c>
      <c r="B281" s="6" t="inlineStr">
        <is>
          <t>3100302</t>
        </is>
      </c>
      <c r="C281" s="4" t="inlineStr">
        <is>
          <t>Juíz de Fora</t>
        </is>
      </c>
      <c r="D281" s="16" t="n">
        <v>13927</v>
      </c>
      <c r="E281" s="8" t="n">
        <v>470.551</v>
      </c>
      <c r="F281" s="7" t="n">
        <v>-20.2810085</v>
      </c>
      <c r="G281" s="7" t="n">
        <v>-42.47093975</v>
      </c>
      <c r="H281" s="8" t="n">
        <v>142.5672</v>
      </c>
      <c r="I281" s="6" t="inlineStr">
        <is>
          <t>MÉDIO</t>
        </is>
      </c>
      <c r="J281" s="6" t="inlineStr">
        <is>
          <t>swine</t>
        </is>
      </c>
      <c r="K281" s="6" t="n">
        <v>9</v>
      </c>
    </row>
    <row r="282">
      <c r="A282" s="6" t="inlineStr">
        <is>
          <t>3124005</t>
        </is>
      </c>
      <c r="B282" s="6" t="inlineStr">
        <is>
          <t>3124005</t>
        </is>
      </c>
      <c r="C282" s="4" t="inlineStr">
        <is>
          <t>Juíz de Fora</t>
        </is>
      </c>
      <c r="D282" s="16" t="n">
        <v>20255</v>
      </c>
      <c r="E282" s="8" t="n">
        <v>357.489</v>
      </c>
      <c r="F282" s="7" t="n">
        <v>-20.8691365</v>
      </c>
      <c r="G282" s="7" t="n">
        <v>-42.62001927</v>
      </c>
      <c r="H282" s="8" t="n">
        <v>142.0765</v>
      </c>
      <c r="I282" s="6" t="inlineStr">
        <is>
          <t>MÉDIO</t>
        </is>
      </c>
      <c r="J282" s="6" t="inlineStr">
        <is>
          <t>swine</t>
        </is>
      </c>
      <c r="K282" s="6" t="n">
        <v>9</v>
      </c>
    </row>
    <row r="283">
      <c r="A283" s="6" t="inlineStr">
        <is>
          <t>3102001</t>
        </is>
      </c>
      <c r="B283" s="6" t="inlineStr">
        <is>
          <t>3102001</t>
        </is>
      </c>
      <c r="C283" s="4" t="inlineStr">
        <is>
          <t>Varginha</t>
        </is>
      </c>
      <c r="D283" s="16" t="n">
        <v>13915</v>
      </c>
      <c r="E283" s="8" t="n">
        <v>362.01</v>
      </c>
      <c r="F283" s="7" t="n">
        <v>-21.232843</v>
      </c>
      <c r="G283" s="7" t="n">
        <v>-46.15629848</v>
      </c>
      <c r="H283" s="8" t="n">
        <v>141.7827</v>
      </c>
      <c r="I283" s="6" t="inlineStr">
        <is>
          <t>MÉDIO</t>
        </is>
      </c>
      <c r="J283" s="6" t="inlineStr">
        <is>
          <t>corn</t>
        </is>
      </c>
      <c r="K283" s="6" t="n">
        <v>12</v>
      </c>
    </row>
    <row r="284">
      <c r="A284" s="6" t="inlineStr">
        <is>
          <t>3167202</t>
        </is>
      </c>
      <c r="B284" s="6" t="inlineStr">
        <is>
          <t>3167202</t>
        </is>
      </c>
      <c r="C284" s="4" t="inlineStr">
        <is>
          <t>Belo Horizonte</t>
        </is>
      </c>
      <c r="D284" s="16" t="n">
        <v>227397</v>
      </c>
      <c r="E284" s="8" t="n">
        <v>536.928</v>
      </c>
      <c r="F284" s="7" t="n">
        <v>-19.445999</v>
      </c>
      <c r="G284" s="7" t="n">
        <v>-44.26680637</v>
      </c>
      <c r="H284" s="8" t="n">
        <v>141.5143</v>
      </c>
      <c r="I284" s="6" t="inlineStr">
        <is>
          <t>MÉDIO</t>
        </is>
      </c>
      <c r="J284" s="6" t="inlineStr">
        <is>
          <t>rsu_organic</t>
        </is>
      </c>
      <c r="K284" s="6" t="n">
        <v>10</v>
      </c>
    </row>
    <row r="285">
      <c r="A285" s="6" t="inlineStr">
        <is>
          <t>3165107</t>
        </is>
      </c>
      <c r="B285" s="6" t="inlineStr">
        <is>
          <t>3165107</t>
        </is>
      </c>
      <c r="C285" s="4" t="inlineStr">
        <is>
          <t>Varginha</t>
        </is>
      </c>
      <c r="D285" s="16" t="n">
        <v>6740</v>
      </c>
      <c r="E285" s="8" t="n">
        <v>277.928</v>
      </c>
      <c r="F285" s="7" t="n">
        <v>-20.78024405</v>
      </c>
      <c r="G285" s="7" t="n">
        <v>-47.12740118</v>
      </c>
      <c r="H285" s="8" t="n">
        <v>140.9725</v>
      </c>
      <c r="I285" s="6" t="inlineStr">
        <is>
          <t>MÉDIO</t>
        </is>
      </c>
      <c r="J285" s="6" t="inlineStr">
        <is>
          <t>sugarcane</t>
        </is>
      </c>
      <c r="K285" s="6" t="n">
        <v>11</v>
      </c>
    </row>
    <row r="286">
      <c r="A286" s="6" t="inlineStr">
        <is>
          <t>3139706</t>
        </is>
      </c>
      <c r="B286" s="6" t="inlineStr">
        <is>
          <t>3139706</t>
        </is>
      </c>
      <c r="C286" s="4" t="inlineStr">
        <is>
          <t>Divinópolis</t>
        </is>
      </c>
      <c r="D286" s="16" t="n">
        <v>7333</v>
      </c>
      <c r="E286" s="8" t="n">
        <v>261.604</v>
      </c>
      <c r="F286" s="7" t="n">
        <v>-19.514378</v>
      </c>
      <c r="G286" s="7" t="n">
        <v>-44.67863707</v>
      </c>
      <c r="H286" s="8" t="n">
        <v>139.998</v>
      </c>
      <c r="I286" s="6" t="inlineStr">
        <is>
          <t>MÉDIO</t>
        </is>
      </c>
      <c r="J286" s="6" t="inlineStr">
        <is>
          <t>swine</t>
        </is>
      </c>
      <c r="K286" s="6" t="n">
        <v>9</v>
      </c>
    </row>
    <row r="287">
      <c r="A287" s="6" t="inlineStr">
        <is>
          <t>3144656</t>
        </is>
      </c>
      <c r="B287" s="6" t="inlineStr">
        <is>
          <t>3144656</t>
        </is>
      </c>
      <c r="C287" s="4" t="inlineStr">
        <is>
          <t>Montes Claros</t>
        </is>
      </c>
      <c r="D287" s="16" t="n">
        <v>10588</v>
      </c>
      <c r="E287" s="8" t="n">
        <v>1108.27</v>
      </c>
      <c r="F287" s="7" t="n">
        <v>-15.3142835</v>
      </c>
      <c r="G287" s="7" t="n">
        <v>-41.70831327</v>
      </c>
      <c r="H287" s="8" t="n">
        <v>138.67</v>
      </c>
      <c r="I287" s="6" t="inlineStr">
        <is>
          <t>MÉDIO</t>
        </is>
      </c>
      <c r="J287" s="6" t="inlineStr">
        <is>
          <t>swine</t>
        </is>
      </c>
      <c r="K287" s="6" t="n">
        <v>9</v>
      </c>
    </row>
    <row r="288">
      <c r="A288" s="6" t="inlineStr">
        <is>
          <t>3149705</t>
        </is>
      </c>
      <c r="B288" s="6" t="inlineStr">
        <is>
          <t>3149705</t>
        </is>
      </c>
      <c r="C288" s="4" t="inlineStr">
        <is>
          <t>Divinópolis</t>
        </is>
      </c>
      <c r="D288" s="16" t="n">
        <v>12268</v>
      </c>
      <c r="E288" s="8" t="n">
        <v>249.322</v>
      </c>
      <c r="F288" s="7" t="n">
        <v>-19.9214955</v>
      </c>
      <c r="G288" s="7" t="n">
        <v>-45.05367704</v>
      </c>
      <c r="H288" s="8" t="n">
        <v>138.5831</v>
      </c>
      <c r="I288" s="6" t="inlineStr">
        <is>
          <t>MÉDIO</t>
        </is>
      </c>
      <c r="J288" s="6" t="inlineStr">
        <is>
          <t>swine</t>
        </is>
      </c>
      <c r="K288" s="6" t="n">
        <v>8</v>
      </c>
    </row>
    <row r="289">
      <c r="A289" s="6" t="inlineStr">
        <is>
          <t>3103900</t>
        </is>
      </c>
      <c r="B289" s="6" t="inlineStr">
        <is>
          <t>3103900</t>
        </is>
      </c>
      <c r="C289" s="4" t="inlineStr">
        <is>
          <t>Divinópolis</t>
        </is>
      </c>
      <c r="D289" s="16" t="n">
        <v>9199</v>
      </c>
      <c r="E289" s="8" t="n">
        <v>245.522</v>
      </c>
      <c r="F289" s="7" t="n">
        <v>-19.8850945</v>
      </c>
      <c r="G289" s="7" t="n">
        <v>-45.18869354</v>
      </c>
      <c r="H289" s="8" t="n">
        <v>137.937</v>
      </c>
      <c r="I289" s="6" t="inlineStr">
        <is>
          <t>MÉDIO</t>
        </is>
      </c>
      <c r="J289" s="6" t="inlineStr">
        <is>
          <t>swine</t>
        </is>
      </c>
      <c r="K289" s="6" t="n">
        <v>9</v>
      </c>
    </row>
    <row r="290">
      <c r="A290" s="6" t="inlineStr">
        <is>
          <t>3150406</t>
        </is>
      </c>
      <c r="B290" s="6" t="inlineStr">
        <is>
          <t>3150406</t>
        </is>
      </c>
      <c r="C290" s="4" t="inlineStr">
        <is>
          <t>Divinópolis</t>
        </is>
      </c>
      <c r="D290" s="16" t="n">
        <v>5019</v>
      </c>
      <c r="E290" s="8" t="n">
        <v>259.638</v>
      </c>
      <c r="F290" s="7" t="n">
        <v>-20.4849465</v>
      </c>
      <c r="G290" s="7" t="n">
        <v>-44.2521609</v>
      </c>
      <c r="H290" s="8" t="n">
        <v>137.5351</v>
      </c>
      <c r="I290" s="6" t="inlineStr">
        <is>
          <t>MÉDIO</t>
        </is>
      </c>
      <c r="J290" s="6" t="inlineStr">
        <is>
          <t>swine</t>
        </is>
      </c>
      <c r="K290" s="6" t="n">
        <v>8</v>
      </c>
    </row>
    <row r="291">
      <c r="A291" s="6" t="inlineStr">
        <is>
          <t>3110400</t>
        </is>
      </c>
      <c r="B291" s="6" t="inlineStr">
        <is>
          <t>3110400</t>
        </is>
      </c>
      <c r="C291" s="4" t="inlineStr">
        <is>
          <t>Divinópolis</t>
        </is>
      </c>
      <c r="D291" s="16" t="n">
        <v>2838</v>
      </c>
      <c r="E291" s="8" t="n">
        <v>223.001</v>
      </c>
      <c r="F291" s="7" t="n">
        <v>-20.652196</v>
      </c>
      <c r="G291" s="7" t="n">
        <v>-45.15401864</v>
      </c>
      <c r="H291" s="8" t="n">
        <v>137.4986</v>
      </c>
      <c r="I291" s="6" t="inlineStr">
        <is>
          <t>MÉDIO</t>
        </is>
      </c>
      <c r="J291" s="6" t="inlineStr">
        <is>
          <t>swine</t>
        </is>
      </c>
      <c r="K291" s="6" t="n">
        <v>10</v>
      </c>
    </row>
    <row r="292">
      <c r="A292" s="6" t="inlineStr">
        <is>
          <t>3148707</t>
        </is>
      </c>
      <c r="B292" s="6" t="inlineStr">
        <is>
          <t>3148707</t>
        </is>
      </c>
      <c r="C292" s="4" t="inlineStr">
        <is>
          <t>Teófilo Otoni</t>
        </is>
      </c>
      <c r="D292" s="16" t="n">
        <v>24410</v>
      </c>
      <c r="E292" s="8" t="n">
        <v>1594.651</v>
      </c>
      <c r="F292" s="7" t="n">
        <v>-15.9542595</v>
      </c>
      <c r="G292" s="7" t="n">
        <v>-41.17383854</v>
      </c>
      <c r="H292" s="8" t="n">
        <v>137.1602</v>
      </c>
      <c r="I292" s="6" t="inlineStr">
        <is>
          <t>MÉDIO</t>
        </is>
      </c>
      <c r="J292" s="6" t="inlineStr">
        <is>
          <t>swine</t>
        </is>
      </c>
      <c r="K292" s="6" t="n">
        <v>10</v>
      </c>
    </row>
    <row r="293">
      <c r="A293" s="6" t="inlineStr">
        <is>
          <t>3132107</t>
        </is>
      </c>
      <c r="B293" s="6" t="inlineStr">
        <is>
          <t>3132107</t>
        </is>
      </c>
      <c r="C293" s="4" t="inlineStr">
        <is>
          <t>Montes Claros</t>
        </is>
      </c>
      <c r="D293" s="16" t="n">
        <v>17208</v>
      </c>
      <c r="E293" s="8" t="n">
        <v>1225.273</v>
      </c>
      <c r="F293" s="7" t="n">
        <v>-15.206184</v>
      </c>
      <c r="G293" s="7" t="n">
        <v>-44.0873767</v>
      </c>
      <c r="H293" s="8" t="n">
        <v>137.1168</v>
      </c>
      <c r="I293" s="6" t="inlineStr">
        <is>
          <t>MÉDIO</t>
        </is>
      </c>
      <c r="J293" s="6" t="inlineStr">
        <is>
          <t>swine</t>
        </is>
      </c>
      <c r="K293" s="6" t="n">
        <v>8</v>
      </c>
    </row>
    <row r="294">
      <c r="A294" s="6" t="inlineStr">
        <is>
          <t>3151701</t>
        </is>
      </c>
      <c r="B294" s="6" t="inlineStr">
        <is>
          <t>3151701</t>
        </is>
      </c>
      <c r="C294" s="4" t="inlineStr">
        <is>
          <t>Varginha</t>
        </is>
      </c>
      <c r="D294" s="16" t="n">
        <v>16390</v>
      </c>
      <c r="E294" s="8" t="n">
        <v>474.244</v>
      </c>
      <c r="F294" s="7" t="n">
        <v>-21.810077</v>
      </c>
      <c r="G294" s="7" t="n">
        <v>-45.99181685</v>
      </c>
      <c r="H294" s="8" t="n">
        <v>137.0458</v>
      </c>
      <c r="I294" s="6" t="inlineStr">
        <is>
          <t>MÉDIO</t>
        </is>
      </c>
      <c r="J294" s="6" t="inlineStr">
        <is>
          <t>swine</t>
        </is>
      </c>
      <c r="K294" s="6" t="n">
        <v>11</v>
      </c>
    </row>
    <row r="295">
      <c r="A295" s="6" t="inlineStr">
        <is>
          <t>3154903</t>
        </is>
      </c>
      <c r="B295" s="6" t="inlineStr">
        <is>
          <t>3154903</t>
        </is>
      </c>
      <c r="C295" s="4" t="inlineStr">
        <is>
          <t>Juíz de Fora</t>
        </is>
      </c>
      <c r="D295" s="16" t="n">
        <v>12789</v>
      </c>
      <c r="E295" s="8" t="n">
        <v>384.381</v>
      </c>
      <c r="F295" s="7" t="n">
        <v>-20.131435</v>
      </c>
      <c r="G295" s="7" t="n">
        <v>-42.69437613</v>
      </c>
      <c r="H295" s="8" t="n">
        <v>135.7867</v>
      </c>
      <c r="I295" s="6" t="inlineStr">
        <is>
          <t>MÉDIO</t>
        </is>
      </c>
      <c r="J295" s="6" t="inlineStr">
        <is>
          <t>swine</t>
        </is>
      </c>
      <c r="K295" s="6" t="n">
        <v>8</v>
      </c>
    </row>
    <row r="296">
      <c r="A296" s="6" t="inlineStr">
        <is>
          <t>3115003</t>
        </is>
      </c>
      <c r="B296" s="6" t="inlineStr">
        <is>
          <t>3115003</t>
        </is>
      </c>
      <c r="C296" s="4" t="inlineStr">
        <is>
          <t>Uberlândia</t>
        </is>
      </c>
      <c r="D296" s="16" t="n">
        <v>2712</v>
      </c>
      <c r="E296" s="8" t="n">
        <v>367.308</v>
      </c>
      <c r="F296" s="7" t="n">
        <v>-18.5654</v>
      </c>
      <c r="G296" s="7" t="n">
        <v>-47.86938708</v>
      </c>
      <c r="H296" s="8" t="n">
        <v>135.6652</v>
      </c>
      <c r="I296" s="6" t="inlineStr">
        <is>
          <t>MÉDIO</t>
        </is>
      </c>
      <c r="J296" s="6" t="inlineStr">
        <is>
          <t>swine</t>
        </is>
      </c>
      <c r="K296" s="6" t="n">
        <v>10</v>
      </c>
    </row>
    <row r="297">
      <c r="A297" s="6" t="inlineStr">
        <is>
          <t>3130903</t>
        </is>
      </c>
      <c r="B297" s="6" t="inlineStr">
        <is>
          <t>3130903</t>
        </is>
      </c>
      <c r="C297" s="4" t="inlineStr">
        <is>
          <t>Ipatinga</t>
        </is>
      </c>
      <c r="D297" s="16" t="n">
        <v>22692</v>
      </c>
      <c r="E297" s="8" t="n">
        <v>858.024</v>
      </c>
      <c r="F297" s="7" t="n">
        <v>-19.483635</v>
      </c>
      <c r="G297" s="7" t="n">
        <v>-42.10928489</v>
      </c>
      <c r="H297" s="8" t="n">
        <v>134.9961</v>
      </c>
      <c r="I297" s="6" t="inlineStr">
        <is>
          <t>MÉDIO</t>
        </is>
      </c>
      <c r="J297" s="6" t="inlineStr">
        <is>
          <t>swine</t>
        </is>
      </c>
      <c r="K297" s="6" t="n">
        <v>10</v>
      </c>
    </row>
    <row r="298">
      <c r="A298" s="6" t="inlineStr">
        <is>
          <t>3135605</t>
        </is>
      </c>
      <c r="B298" s="6" t="inlineStr">
        <is>
          <t>3135605</t>
        </is>
      </c>
      <c r="C298" s="4" t="inlineStr">
        <is>
          <t>Montes Claros</t>
        </is>
      </c>
      <c r="D298" s="16" t="n">
        <v>6484</v>
      </c>
      <c r="E298" s="8" t="n">
        <v>1268.443</v>
      </c>
      <c r="F298" s="7" t="n">
        <v>-17.2010315</v>
      </c>
      <c r="G298" s="7" t="n">
        <v>-44.48914435</v>
      </c>
      <c r="H298" s="8" t="n">
        <v>134.735</v>
      </c>
      <c r="I298" s="6" t="inlineStr">
        <is>
          <t>MÉDIO</t>
        </is>
      </c>
      <c r="J298" s="6" t="inlineStr">
        <is>
          <t>swine</t>
        </is>
      </c>
      <c r="K298" s="6" t="n">
        <v>9</v>
      </c>
    </row>
    <row r="299">
      <c r="A299" s="6" t="inlineStr">
        <is>
          <t>3152907</t>
        </is>
      </c>
      <c r="B299" s="6" t="inlineStr">
        <is>
          <t>3152907</t>
        </is>
      </c>
      <c r="C299" s="4" t="inlineStr">
        <is>
          <t>Varginha</t>
        </is>
      </c>
      <c r="D299" s="16" t="n">
        <v>8406</v>
      </c>
      <c r="E299" s="8" t="n">
        <v>215.516</v>
      </c>
      <c r="F299" s="7" t="n">
        <v>-20.783467</v>
      </c>
      <c r="G299" s="7" t="n">
        <v>-46.87642956</v>
      </c>
      <c r="H299" s="8" t="n">
        <v>134.5649</v>
      </c>
      <c r="I299" s="6" t="inlineStr">
        <is>
          <t>MÉDIO</t>
        </is>
      </c>
      <c r="J299" s="6" t="inlineStr">
        <is>
          <t>corn</t>
        </is>
      </c>
      <c r="K299" s="6" t="n">
        <v>12</v>
      </c>
    </row>
    <row r="300">
      <c r="A300" s="6" t="inlineStr">
        <is>
          <t>3117603</t>
        </is>
      </c>
      <c r="B300" s="6" t="inlineStr">
        <is>
          <t>3117603</t>
        </is>
      </c>
      <c r="C300" s="4" t="inlineStr">
        <is>
          <t>Divinópolis</t>
        </is>
      </c>
      <c r="D300" s="16" t="n">
        <v>5415</v>
      </c>
      <c r="E300" s="8" t="n">
        <v>250.306</v>
      </c>
      <c r="F300" s="7" t="n">
        <v>-19.790728</v>
      </c>
      <c r="G300" s="7" t="n">
        <v>-44.83233914</v>
      </c>
      <c r="H300" s="8" t="n">
        <v>134.2195</v>
      </c>
      <c r="I300" s="6" t="inlineStr">
        <is>
          <t>MÉDIO</t>
        </is>
      </c>
      <c r="J300" s="6" t="inlineStr">
        <is>
          <t>swine</t>
        </is>
      </c>
      <c r="K300" s="6" t="n">
        <v>8</v>
      </c>
    </row>
    <row r="301">
      <c r="A301" s="6" t="inlineStr">
        <is>
          <t>3104809</t>
        </is>
      </c>
      <c r="B301" s="6" t="inlineStr">
        <is>
          <t>3104809</t>
        </is>
      </c>
      <c r="C301" s="4" t="inlineStr">
        <is>
          <t>Belo Horizonte</t>
        </is>
      </c>
      <c r="D301" s="16" t="n">
        <v>4538</v>
      </c>
      <c r="E301" s="8" t="n">
        <v>1254.832</v>
      </c>
      <c r="F301" s="7" t="n">
        <v>-18.100727</v>
      </c>
      <c r="G301" s="7" t="n">
        <v>-44.23254742</v>
      </c>
      <c r="H301" s="8" t="n">
        <v>134.1432</v>
      </c>
      <c r="I301" s="6" t="inlineStr">
        <is>
          <t>MÉDIO</t>
        </is>
      </c>
      <c r="J301" s="6" t="inlineStr">
        <is>
          <t>swine</t>
        </is>
      </c>
      <c r="K301" s="6" t="n">
        <v>10</v>
      </c>
    </row>
    <row r="302">
      <c r="A302" s="6" t="inlineStr">
        <is>
          <t>3144706</t>
        </is>
      </c>
      <c r="B302" s="6" t="inlineStr">
        <is>
          <t>3144706</t>
        </is>
      </c>
      <c r="C302" s="4" t="inlineStr">
        <is>
          <t>Ipatinga</t>
        </is>
      </c>
      <c r="D302" s="16" t="n">
        <v>17438</v>
      </c>
      <c r="E302" s="8" t="n">
        <v>361.852</v>
      </c>
      <c r="F302" s="7" t="n">
        <v>-19.6952335</v>
      </c>
      <c r="G302" s="7" t="n">
        <v>-43.03236764</v>
      </c>
      <c r="H302" s="8" t="n">
        <v>134.0328</v>
      </c>
      <c r="I302" s="6" t="inlineStr">
        <is>
          <t>MÉDIO</t>
        </is>
      </c>
      <c r="J302" s="6" t="inlineStr">
        <is>
          <t>forestry</t>
        </is>
      </c>
      <c r="K302" s="6" t="n">
        <v>9</v>
      </c>
    </row>
    <row r="303">
      <c r="A303" s="6" t="inlineStr">
        <is>
          <t>3100609</t>
        </is>
      </c>
      <c r="B303" s="6" t="inlineStr">
        <is>
          <t>3100609</t>
        </is>
      </c>
      <c r="C303" s="4" t="inlineStr">
        <is>
          <t>Teófilo Otoni</t>
        </is>
      </c>
      <c r="D303" s="16" t="n">
        <v>12589</v>
      </c>
      <c r="E303" s="8" t="n">
        <v>1320.344</v>
      </c>
      <c r="F303" s="7" t="n">
        <v>-18.013902</v>
      </c>
      <c r="G303" s="7" t="n">
        <v>-42.28340933</v>
      </c>
      <c r="H303" s="8" t="n">
        <v>133.7264</v>
      </c>
      <c r="I303" s="6" t="inlineStr">
        <is>
          <t>MÉDIO</t>
        </is>
      </c>
      <c r="J303" s="6" t="inlineStr">
        <is>
          <t>swine</t>
        </is>
      </c>
      <c r="K303" s="6" t="n">
        <v>10</v>
      </c>
    </row>
    <row r="304">
      <c r="A304" s="6" t="inlineStr">
        <is>
          <t>3127339</t>
        </is>
      </c>
      <c r="B304" s="6" t="inlineStr">
        <is>
          <t>3127339</t>
        </is>
      </c>
      <c r="C304" s="4" t="inlineStr">
        <is>
          <t>Montes Claros</t>
        </is>
      </c>
      <c r="D304" s="16" t="n">
        <v>4793</v>
      </c>
      <c r="E304" s="8" t="n">
        <v>1733.203</v>
      </c>
      <c r="F304" s="7" t="n">
        <v>-14.981863</v>
      </c>
      <c r="G304" s="7" t="n">
        <v>-43.26401398</v>
      </c>
      <c r="H304" s="8" t="n">
        <v>133.4656</v>
      </c>
      <c r="I304" s="6" t="inlineStr">
        <is>
          <t>MÉDIO</t>
        </is>
      </c>
      <c r="J304" s="6" t="inlineStr">
        <is>
          <t>swine</t>
        </is>
      </c>
      <c r="K304" s="6" t="n">
        <v>6</v>
      </c>
    </row>
    <row r="305">
      <c r="A305" s="6" t="inlineStr">
        <is>
          <t>3136009</t>
        </is>
      </c>
      <c r="B305" s="6" t="inlineStr">
        <is>
          <t>3136009</t>
        </is>
      </c>
      <c r="C305" s="4" t="inlineStr">
        <is>
          <t>Teófilo Otoni</t>
        </is>
      </c>
      <c r="D305" s="16" t="n">
        <v>13888</v>
      </c>
      <c r="E305" s="8" t="n">
        <v>1664.19</v>
      </c>
      <c r="F305" s="7" t="n">
        <v>-16.797745</v>
      </c>
      <c r="G305" s="7" t="n">
        <v>-40.94643196</v>
      </c>
      <c r="H305" s="8" t="n">
        <v>133.3935</v>
      </c>
      <c r="I305" s="6" t="inlineStr">
        <is>
          <t>MÉDIO</t>
        </is>
      </c>
      <c r="J305" s="6" t="inlineStr">
        <is>
          <t>swine</t>
        </is>
      </c>
      <c r="K305" s="6" t="n">
        <v>9</v>
      </c>
    </row>
    <row r="306">
      <c r="A306" s="6" t="inlineStr">
        <is>
          <t>3134004</t>
        </is>
      </c>
      <c r="B306" s="6" t="inlineStr">
        <is>
          <t>3134004</t>
        </is>
      </c>
      <c r="C306" s="4" t="inlineStr">
        <is>
          <t>Teófilo Otoni</t>
        </is>
      </c>
      <c r="D306" s="16" t="n">
        <v>13745</v>
      </c>
      <c r="E306" s="8" t="n">
        <v>1649.622</v>
      </c>
      <c r="F306" s="7" t="n">
        <v>-16.5988545</v>
      </c>
      <c r="G306" s="7" t="n">
        <v>-41.8111278</v>
      </c>
      <c r="H306" s="8" t="n">
        <v>132.8019</v>
      </c>
      <c r="I306" s="6" t="inlineStr">
        <is>
          <t>MÉDIO</t>
        </is>
      </c>
      <c r="J306" s="6" t="inlineStr">
        <is>
          <t>swine</t>
        </is>
      </c>
      <c r="K306" s="6" t="n">
        <v>9</v>
      </c>
    </row>
    <row r="307">
      <c r="A307" s="6" t="inlineStr">
        <is>
          <t>3101201</t>
        </is>
      </c>
      <c r="B307" s="6" t="inlineStr">
        <is>
          <t>3101201</t>
        </is>
      </c>
      <c r="C307" s="4" t="inlineStr">
        <is>
          <t>Pouso Alegre</t>
        </is>
      </c>
      <c r="D307" s="16" t="n">
        <v>6233</v>
      </c>
      <c r="E307" s="8" t="n">
        <v>649.6799999999999</v>
      </c>
      <c r="F307" s="7" t="n">
        <v>-21.9519495</v>
      </c>
      <c r="G307" s="7" t="n">
        <v>-44.65428563</v>
      </c>
      <c r="H307" s="8" t="n">
        <v>132.6802</v>
      </c>
      <c r="I307" s="6" t="inlineStr">
        <is>
          <t>MÉDIO</t>
        </is>
      </c>
      <c r="J307" s="6" t="inlineStr">
        <is>
          <t>swine</t>
        </is>
      </c>
      <c r="K307" s="6" t="n">
        <v>11</v>
      </c>
    </row>
    <row r="308">
      <c r="A308" s="6" t="inlineStr">
        <is>
          <t>3165305</t>
        </is>
      </c>
      <c r="B308" s="6" t="inlineStr">
        <is>
          <t>3165305</t>
        </is>
      </c>
      <c r="C308" s="4" t="inlineStr">
        <is>
          <t>Barbacena</t>
        </is>
      </c>
      <c r="D308" s="16" t="n">
        <v>6804</v>
      </c>
      <c r="E308" s="8" t="n">
        <v>392.651</v>
      </c>
      <c r="F308" s="7" t="n">
        <v>-21.658827</v>
      </c>
      <c r="G308" s="7" t="n">
        <v>-44.47526213</v>
      </c>
      <c r="H308" s="8" t="n">
        <v>132.4957</v>
      </c>
      <c r="I308" s="6" t="inlineStr">
        <is>
          <t>MÉDIO</t>
        </is>
      </c>
      <c r="J308" s="6" t="inlineStr">
        <is>
          <t>corn</t>
        </is>
      </c>
      <c r="K308" s="6" t="n">
        <v>10</v>
      </c>
    </row>
    <row r="309">
      <c r="A309" s="6" t="inlineStr">
        <is>
          <t>3107505</t>
        </is>
      </c>
      <c r="B309" s="6" t="inlineStr">
        <is>
          <t>3107505</t>
        </is>
      </c>
      <c r="C309" s="4" t="inlineStr">
        <is>
          <t>Juíz de Fora</t>
        </is>
      </c>
      <c r="D309" s="16" t="n">
        <v>6783</v>
      </c>
      <c r="E309" s="8" t="n">
        <v>412.021</v>
      </c>
      <c r="F309" s="7" t="n">
        <v>-21.936059</v>
      </c>
      <c r="G309" s="7" t="n">
        <v>-44.10944403</v>
      </c>
      <c r="H309" s="8" t="n">
        <v>131.5805</v>
      </c>
      <c r="I309" s="6" t="inlineStr">
        <is>
          <t>MÉDIO</t>
        </is>
      </c>
      <c r="J309" s="6" t="inlineStr">
        <is>
          <t>swine</t>
        </is>
      </c>
      <c r="K309" s="6" t="n">
        <v>8</v>
      </c>
    </row>
    <row r="310">
      <c r="A310" s="6" t="inlineStr">
        <is>
          <t>3107604</t>
        </is>
      </c>
      <c r="B310" s="6" t="inlineStr">
        <is>
          <t>3107604</t>
        </is>
      </c>
      <c r="C310" s="4" t="inlineStr">
        <is>
          <t>Varginha</t>
        </is>
      </c>
      <c r="D310" s="16" t="n">
        <v>4474</v>
      </c>
      <c r="E310" s="8" t="n">
        <v>208.349</v>
      </c>
      <c r="F310" s="7" t="n">
        <v>-21.008824</v>
      </c>
      <c r="G310" s="7" t="n">
        <v>-46.54616317</v>
      </c>
      <c r="H310" s="8" t="n">
        <v>131.5731</v>
      </c>
      <c r="I310" s="6" t="inlineStr">
        <is>
          <t>MÉDIO</t>
        </is>
      </c>
      <c r="J310" s="6" t="inlineStr">
        <is>
          <t>corn</t>
        </is>
      </c>
      <c r="K310" s="6" t="n">
        <v>10</v>
      </c>
    </row>
    <row r="311">
      <c r="A311" s="6" t="inlineStr">
        <is>
          <t>3154606</t>
        </is>
      </c>
      <c r="B311" s="6" t="inlineStr">
        <is>
          <t>3154606</t>
        </is>
      </c>
      <c r="C311" s="4" t="inlineStr">
        <is>
          <t>Belo Horizonte</t>
        </is>
      </c>
      <c r="D311" s="16" t="n">
        <v>329794</v>
      </c>
      <c r="E311" s="8" t="n">
        <v>155.105</v>
      </c>
      <c r="F311" s="7" t="n">
        <v>-19.77744365</v>
      </c>
      <c r="G311" s="7" t="n">
        <v>-44.0596177</v>
      </c>
      <c r="H311" s="8" t="n">
        <v>131.4673</v>
      </c>
      <c r="I311" s="6" t="inlineStr">
        <is>
          <t>MÉDIO</t>
        </is>
      </c>
      <c r="J311" s="6" t="inlineStr">
        <is>
          <t>rsu_organic</t>
        </is>
      </c>
      <c r="K311" s="6" t="n">
        <v>8</v>
      </c>
    </row>
    <row r="312">
      <c r="A312" s="6" t="inlineStr">
        <is>
          <t>3109501</t>
        </is>
      </c>
      <c r="B312" s="6" t="inlineStr">
        <is>
          <t>3109501</t>
        </is>
      </c>
      <c r="C312" s="4" t="inlineStr">
        <is>
          <t>Varginha</t>
        </is>
      </c>
      <c r="D312" s="16" t="n">
        <v>11410</v>
      </c>
      <c r="E312" s="8" t="n">
        <v>368.206</v>
      </c>
      <c r="F312" s="7" t="n">
        <v>-21.48338</v>
      </c>
      <c r="G312" s="7" t="n">
        <v>-46.390432</v>
      </c>
      <c r="H312" s="8" t="n">
        <v>131.2643</v>
      </c>
      <c r="I312" s="6" t="inlineStr">
        <is>
          <t>MÉDIO</t>
        </is>
      </c>
      <c r="J312" s="6" t="inlineStr">
        <is>
          <t>swine</t>
        </is>
      </c>
      <c r="K312" s="6" t="n">
        <v>11</v>
      </c>
    </row>
    <row r="313">
      <c r="A313" s="6" t="inlineStr">
        <is>
          <t>3171071</t>
        </is>
      </c>
      <c r="B313" s="6" t="inlineStr">
        <is>
          <t>3171071</t>
        </is>
      </c>
      <c r="C313" s="4" t="inlineStr">
        <is>
          <t>Teófilo Otoni</t>
        </is>
      </c>
      <c r="D313" s="16" t="n">
        <v>5181</v>
      </c>
      <c r="E313" s="8" t="n">
        <v>631.691</v>
      </c>
      <c r="F313" s="7" t="n">
        <v>-17.50977555</v>
      </c>
      <c r="G313" s="7" t="n">
        <v>-42.7337406</v>
      </c>
      <c r="H313" s="8" t="n">
        <v>130.5086</v>
      </c>
      <c r="I313" s="6" t="inlineStr">
        <is>
          <t>MÉDIO</t>
        </is>
      </c>
      <c r="J313" s="6" t="inlineStr">
        <is>
          <t>forestry</t>
        </is>
      </c>
      <c r="K313" s="6" t="n">
        <v>10</v>
      </c>
    </row>
    <row r="314">
      <c r="A314" s="6" t="inlineStr">
        <is>
          <t>3117836</t>
        </is>
      </c>
      <c r="B314" s="6" t="inlineStr">
        <is>
          <t>3117836</t>
        </is>
      </c>
      <c r="C314" s="4" t="inlineStr">
        <is>
          <t>Montes Claros</t>
        </is>
      </c>
      <c r="D314" s="16" t="n">
        <v>7237</v>
      </c>
      <c r="E314" s="8" t="n">
        <v>1610.469</v>
      </c>
      <c r="F314" s="7" t="n">
        <v>-15.040666</v>
      </c>
      <c r="G314" s="7" t="n">
        <v>-44.61791394</v>
      </c>
      <c r="H314" s="8" t="n">
        <v>129.8548</v>
      </c>
      <c r="I314" s="6" t="inlineStr">
        <is>
          <t>MÉDIO</t>
        </is>
      </c>
      <c r="J314" s="6" t="inlineStr">
        <is>
          <t>swine</t>
        </is>
      </c>
      <c r="K314" s="6" t="n">
        <v>7</v>
      </c>
    </row>
    <row r="315">
      <c r="A315" s="6" t="inlineStr">
        <is>
          <t>3143450</t>
        </is>
      </c>
      <c r="B315" s="6" t="inlineStr">
        <is>
          <t>3143450</t>
        </is>
      </c>
      <c r="C315" s="4" t="inlineStr">
        <is>
          <t>Montes Claros</t>
        </is>
      </c>
      <c r="D315" s="16" t="n">
        <v>6888</v>
      </c>
      <c r="E315" s="8" t="n">
        <v>1130.419</v>
      </c>
      <c r="F315" s="7" t="n">
        <v>-15.206327</v>
      </c>
      <c r="G315" s="7" t="n">
        <v>-42.48418861</v>
      </c>
      <c r="H315" s="8" t="n">
        <v>128.8486</v>
      </c>
      <c r="I315" s="6" t="inlineStr">
        <is>
          <t>MÉDIO</t>
        </is>
      </c>
      <c r="J315" s="6" t="inlineStr">
        <is>
          <t>swine</t>
        </is>
      </c>
      <c r="K315" s="6" t="n">
        <v>10</v>
      </c>
    </row>
    <row r="316">
      <c r="A316" s="6" t="inlineStr">
        <is>
          <t>3117108</t>
        </is>
      </c>
      <c r="B316" s="6" t="inlineStr">
        <is>
          <t>3117108</t>
        </is>
      </c>
      <c r="C316" s="4" t="inlineStr">
        <is>
          <t>Varginha</t>
        </is>
      </c>
      <c r="D316" s="16" t="n">
        <v>10371</v>
      </c>
      <c r="E316" s="8" t="n">
        <v>352.521</v>
      </c>
      <c r="F316" s="7" t="n">
        <v>-21.0972885</v>
      </c>
      <c r="G316" s="7" t="n">
        <v>-46.22687772</v>
      </c>
      <c r="H316" s="8" t="n">
        <v>128.4212</v>
      </c>
      <c r="I316" s="6" t="inlineStr">
        <is>
          <t>MÉDIO</t>
        </is>
      </c>
      <c r="J316" s="6" t="inlineStr">
        <is>
          <t>coffee</t>
        </is>
      </c>
      <c r="K316" s="6" t="n">
        <v>11</v>
      </c>
    </row>
    <row r="317">
      <c r="A317" s="6" t="inlineStr">
        <is>
          <t>3101508</t>
        </is>
      </c>
      <c r="B317" s="6" t="inlineStr">
        <is>
          <t>3101508</t>
        </is>
      </c>
      <c r="C317" s="4" t="inlineStr">
        <is>
          <t>Juíz de Fora</t>
        </is>
      </c>
      <c r="D317" s="16" t="n">
        <v>30717</v>
      </c>
      <c r="E317" s="8" t="n">
        <v>510.25</v>
      </c>
      <c r="F317" s="7" t="n">
        <v>-21.8275815</v>
      </c>
      <c r="G317" s="7" t="n">
        <v>-42.69035709</v>
      </c>
      <c r="H317" s="8" t="n">
        <v>127.6699</v>
      </c>
      <c r="I317" s="6" t="inlineStr">
        <is>
          <t>MÉDIO</t>
        </is>
      </c>
      <c r="J317" s="6" t="inlineStr">
        <is>
          <t>swine</t>
        </is>
      </c>
      <c r="K317" s="6" t="n">
        <v>7</v>
      </c>
    </row>
    <row r="318">
      <c r="A318" s="6" t="inlineStr">
        <is>
          <t>3108602</t>
        </is>
      </c>
      <c r="B318" s="6" t="inlineStr">
        <is>
          <t>3108602</t>
        </is>
      </c>
      <c r="C318" s="4" t="inlineStr">
        <is>
          <t>Montes Claros</t>
        </is>
      </c>
      <c r="D318" s="16" t="n">
        <v>32025</v>
      </c>
      <c r="E318" s="8" t="n">
        <v>1399.484</v>
      </c>
      <c r="F318" s="7" t="n">
        <v>-16.2386975</v>
      </c>
      <c r="G318" s="7" t="n">
        <v>-44.38383904</v>
      </c>
      <c r="H318" s="8" t="n">
        <v>127.1351</v>
      </c>
      <c r="I318" s="6" t="inlineStr">
        <is>
          <t>MÉDIO</t>
        </is>
      </c>
      <c r="J318" s="6" t="inlineStr">
        <is>
          <t>swine</t>
        </is>
      </c>
      <c r="K318" s="6" t="n">
        <v>9</v>
      </c>
    </row>
    <row r="319">
      <c r="A319" s="6" t="inlineStr">
        <is>
          <t>3118700</t>
        </is>
      </c>
      <c r="B319" s="6" t="inlineStr">
        <is>
          <t>3118700</t>
        </is>
      </c>
      <c r="C319" s="4" t="inlineStr">
        <is>
          <t>Varginha</t>
        </is>
      </c>
      <c r="D319" s="16" t="n">
        <v>9023</v>
      </c>
      <c r="E319" s="8" t="n">
        <v>296.163</v>
      </c>
      <c r="F319" s="7" t="n">
        <v>-21.177991</v>
      </c>
      <c r="G319" s="7" t="n">
        <v>-45.41985261</v>
      </c>
      <c r="H319" s="8" t="n">
        <v>126.7396</v>
      </c>
      <c r="I319" s="6" t="inlineStr">
        <is>
          <t>MÉDIO</t>
        </is>
      </c>
      <c r="J319" s="6" t="inlineStr">
        <is>
          <t>swine</t>
        </is>
      </c>
      <c r="K319" s="6" t="n">
        <v>11</v>
      </c>
    </row>
    <row r="320">
      <c r="A320" s="6" t="inlineStr">
        <is>
          <t>3130200</t>
        </is>
      </c>
      <c r="B320" s="6" t="inlineStr">
        <is>
          <t>3130200</t>
        </is>
      </c>
      <c r="C320" s="4" t="inlineStr">
        <is>
          <t>Divinópolis</t>
        </is>
      </c>
      <c r="D320" s="16" t="n">
        <v>10830</v>
      </c>
      <c r="E320" s="8" t="n">
        <v>218.343</v>
      </c>
      <c r="F320" s="7" t="n">
        <v>-19.9758025</v>
      </c>
      <c r="G320" s="7" t="n">
        <v>-44.69170264</v>
      </c>
      <c r="H320" s="8" t="n">
        <v>126.6015</v>
      </c>
      <c r="I320" s="6" t="inlineStr">
        <is>
          <t>MÉDIO</t>
        </is>
      </c>
      <c r="J320" s="6" t="inlineStr">
        <is>
          <t>swine</t>
        </is>
      </c>
      <c r="K320" s="6" t="n">
        <v>7</v>
      </c>
    </row>
    <row r="321">
      <c r="A321" s="6" t="inlineStr">
        <is>
          <t>3132701</t>
        </is>
      </c>
      <c r="B321" s="6" t="inlineStr">
        <is>
          <t>3132701</t>
        </is>
      </c>
      <c r="C321" s="4" t="inlineStr">
        <is>
          <t>Teófilo Otoni</t>
        </is>
      </c>
      <c r="D321" s="16" t="n">
        <v>21042</v>
      </c>
      <c r="E321" s="8" t="n">
        <v>1419.209</v>
      </c>
      <c r="F321" s="7" t="n">
        <v>-18.177018</v>
      </c>
      <c r="G321" s="7" t="n">
        <v>-41.91408367</v>
      </c>
      <c r="H321" s="8" t="n">
        <v>125.9465</v>
      </c>
      <c r="I321" s="6" t="inlineStr">
        <is>
          <t>MÉDIO</t>
        </is>
      </c>
      <c r="J321" s="6" t="inlineStr">
        <is>
          <t>swine</t>
        </is>
      </c>
      <c r="K321" s="6" t="n">
        <v>10</v>
      </c>
    </row>
    <row r="322">
      <c r="A322" s="6" t="inlineStr">
        <is>
          <t>3124203</t>
        </is>
      </c>
      <c r="B322" s="6" t="inlineStr">
        <is>
          <t>3124203</t>
        </is>
      </c>
      <c r="C322" s="4" t="inlineStr">
        <is>
          <t>Juíz de Fora</t>
        </is>
      </c>
      <c r="D322" s="16" t="n">
        <v>24102</v>
      </c>
      <c r="E322" s="8" t="n">
        <v>317.638</v>
      </c>
      <c r="F322" s="7" t="n">
        <v>-20.588409</v>
      </c>
      <c r="G322" s="7" t="n">
        <v>-41.95581769</v>
      </c>
      <c r="H322" s="8" t="n">
        <v>125.8596</v>
      </c>
      <c r="I322" s="6" t="inlineStr">
        <is>
          <t>MÉDIO</t>
        </is>
      </c>
      <c r="J322" s="6" t="inlineStr">
        <is>
          <t>swine</t>
        </is>
      </c>
      <c r="K322" s="6" t="n">
        <v>10</v>
      </c>
    </row>
    <row r="323">
      <c r="A323" s="6" t="inlineStr">
        <is>
          <t>3101102</t>
        </is>
      </c>
      <c r="B323" s="6" t="inlineStr">
        <is>
          <t>3101102</t>
        </is>
      </c>
      <c r="C323" s="4" t="inlineStr">
        <is>
          <t>Governador Valadares</t>
        </is>
      </c>
      <c r="D323" s="16" t="n">
        <v>25269</v>
      </c>
      <c r="E323" s="8" t="n">
        <v>1348.913</v>
      </c>
      <c r="F323" s="7" t="n">
        <v>-19.659455</v>
      </c>
      <c r="G323" s="7" t="n">
        <v>-41.26378401</v>
      </c>
      <c r="H323" s="8" t="n">
        <v>125.8524</v>
      </c>
      <c r="I323" s="6" t="inlineStr">
        <is>
          <t>MÉDIO</t>
        </is>
      </c>
      <c r="J323" s="6" t="inlineStr">
        <is>
          <t>swine</t>
        </is>
      </c>
      <c r="K323" s="6" t="n">
        <v>10</v>
      </c>
    </row>
    <row r="324">
      <c r="A324" s="6" t="inlineStr">
        <is>
          <t>3171030</t>
        </is>
      </c>
      <c r="B324" s="6" t="inlineStr">
        <is>
          <t>3171030</t>
        </is>
      </c>
      <c r="C324" s="4" t="inlineStr">
        <is>
          <t>Montes Claros</t>
        </is>
      </c>
      <c r="D324" s="16" t="n">
        <v>7672</v>
      </c>
      <c r="E324" s="8" t="n">
        <v>1570.582</v>
      </c>
      <c r="F324" s="7" t="n">
        <v>-15.5625345</v>
      </c>
      <c r="G324" s="7" t="n">
        <v>-43.59525721</v>
      </c>
      <c r="H324" s="8" t="n">
        <v>125.3978</v>
      </c>
      <c r="I324" s="6" t="inlineStr">
        <is>
          <t>MÉDIO</t>
        </is>
      </c>
      <c r="J324" s="6" t="inlineStr">
        <is>
          <t>swine</t>
        </is>
      </c>
      <c r="K324" s="6" t="n">
        <v>7</v>
      </c>
    </row>
    <row r="325">
      <c r="A325" s="6" t="inlineStr">
        <is>
          <t>3154002</t>
        </is>
      </c>
      <c r="B325" s="6" t="inlineStr">
        <is>
          <t>3154002</t>
        </is>
      </c>
      <c r="C325" s="4" t="inlineStr">
        <is>
          <t>Ipatinga</t>
        </is>
      </c>
      <c r="D325" s="16" t="n">
        <v>23423</v>
      </c>
      <c r="E325" s="8" t="n">
        <v>763.364</v>
      </c>
      <c r="F325" s="7" t="n">
        <v>-20.0241235</v>
      </c>
      <c r="G325" s="7" t="n">
        <v>-42.41374556</v>
      </c>
      <c r="H325" s="8" t="n">
        <v>124.3618</v>
      </c>
      <c r="I325" s="6" t="inlineStr">
        <is>
          <t>MÉDIO</t>
        </is>
      </c>
      <c r="J325" s="6" t="inlineStr">
        <is>
          <t>swine</t>
        </is>
      </c>
      <c r="K325" s="6" t="n">
        <v>10</v>
      </c>
    </row>
    <row r="326">
      <c r="A326" s="6" t="inlineStr">
        <is>
          <t>3107802</t>
        </is>
      </c>
      <c r="B326" s="6" t="inlineStr">
        <is>
          <t>3107802</t>
        </is>
      </c>
      <c r="C326" s="4" t="inlineStr">
        <is>
          <t>Ipatinga</t>
        </is>
      </c>
      <c r="D326" s="16" t="n">
        <v>14536</v>
      </c>
      <c r="E326" s="8" t="n">
        <v>592.289</v>
      </c>
      <c r="F326" s="7" t="n">
        <v>-19.726103</v>
      </c>
      <c r="G326" s="7" t="n">
        <v>-42.30392422</v>
      </c>
      <c r="H326" s="8" t="n">
        <v>123.6799</v>
      </c>
      <c r="I326" s="6" t="inlineStr">
        <is>
          <t>MÉDIO</t>
        </is>
      </c>
      <c r="J326" s="6" t="inlineStr">
        <is>
          <t>forestry</t>
        </is>
      </c>
      <c r="K326" s="6" t="n">
        <v>10</v>
      </c>
    </row>
    <row r="327">
      <c r="A327" s="6" t="inlineStr">
        <is>
          <t>3165404</t>
        </is>
      </c>
      <c r="B327" s="6" t="inlineStr">
        <is>
          <t>3165404</t>
        </is>
      </c>
      <c r="C327" s="4" t="inlineStr">
        <is>
          <t>Pouso Alegre</t>
        </is>
      </c>
      <c r="D327" s="16" t="n">
        <v>6311</v>
      </c>
      <c r="E327" s="8" t="n">
        <v>285.073</v>
      </c>
      <c r="F327" s="7" t="n">
        <v>-22.7963045</v>
      </c>
      <c r="G327" s="7" t="n">
        <v>-45.85788164</v>
      </c>
      <c r="H327" s="8" t="n">
        <v>122.7001</v>
      </c>
      <c r="I327" s="6" t="inlineStr">
        <is>
          <t>MÉDIO</t>
        </is>
      </c>
      <c r="J327" s="6" t="inlineStr">
        <is>
          <t>forestry</t>
        </is>
      </c>
      <c r="K327" s="6" t="n">
        <v>8</v>
      </c>
    </row>
    <row r="328">
      <c r="A328" s="6" t="inlineStr">
        <is>
          <t>3155306</t>
        </is>
      </c>
      <c r="B328" s="6" t="inlineStr">
        <is>
          <t>3155306</t>
        </is>
      </c>
      <c r="C328" s="4" t="inlineStr">
        <is>
          <t>Divinópolis</t>
        </is>
      </c>
      <c r="D328" s="16" t="n">
        <v>5568</v>
      </c>
      <c r="E328" s="8" t="n">
        <v>231.54</v>
      </c>
      <c r="F328" s="7" t="n">
        <v>-20.255698</v>
      </c>
      <c r="G328" s="7" t="n">
        <v>-44.32804364</v>
      </c>
      <c r="H328" s="8" t="n">
        <v>122.2492</v>
      </c>
      <c r="I328" s="6" t="inlineStr">
        <is>
          <t>MÉDIO</t>
        </is>
      </c>
      <c r="J328" s="6" t="inlineStr">
        <is>
          <t>swine</t>
        </is>
      </c>
      <c r="K328" s="6" t="n">
        <v>8</v>
      </c>
    </row>
    <row r="329">
      <c r="A329" s="6" t="inlineStr">
        <is>
          <t>3131208</t>
        </is>
      </c>
      <c r="B329" s="6" t="inlineStr">
        <is>
          <t>3131208</t>
        </is>
      </c>
      <c r="C329" s="4" t="inlineStr">
        <is>
          <t>Juíz de Fora</t>
        </is>
      </c>
      <c r="D329" s="16" t="n">
        <v>19522</v>
      </c>
      <c r="E329" s="8" t="n">
        <v>456.641</v>
      </c>
      <c r="F329" s="7" t="n">
        <v>-19.75479745</v>
      </c>
      <c r="G329" s="7" t="n">
        <v>-41.72705603</v>
      </c>
      <c r="H329" s="8" t="n">
        <v>120.85</v>
      </c>
      <c r="I329" s="6" t="inlineStr">
        <is>
          <t>MÉDIO</t>
        </is>
      </c>
      <c r="J329" s="6" t="inlineStr">
        <is>
          <t>swine</t>
        </is>
      </c>
      <c r="K329" s="6" t="n">
        <v>10</v>
      </c>
    </row>
    <row r="330">
      <c r="A330" s="6" t="inlineStr">
        <is>
          <t>3142700</t>
        </is>
      </c>
      <c r="B330" s="6" t="inlineStr">
        <is>
          <t>3142700</t>
        </is>
      </c>
      <c r="C330" s="4" t="inlineStr">
        <is>
          <t>Montes Claros</t>
        </is>
      </c>
      <c r="D330" s="16" t="n">
        <v>14060</v>
      </c>
      <c r="E330" s="8" t="n">
        <v>1503.755</v>
      </c>
      <c r="F330" s="7" t="n">
        <v>-14.471812</v>
      </c>
      <c r="G330" s="7" t="n">
        <v>-44.52837796</v>
      </c>
      <c r="H330" s="8" t="n">
        <v>120.6811</v>
      </c>
      <c r="I330" s="6" t="inlineStr">
        <is>
          <t>MÉDIO</t>
        </is>
      </c>
      <c r="J330" s="6" t="inlineStr">
        <is>
          <t>swine</t>
        </is>
      </c>
      <c r="K330" s="6" t="n">
        <v>7</v>
      </c>
    </row>
    <row r="331">
      <c r="A331" s="6" t="inlineStr">
        <is>
          <t>3110905</t>
        </is>
      </c>
      <c r="B331" s="6" t="inlineStr">
        <is>
          <t>3110905</t>
        </is>
      </c>
      <c r="C331" s="4" t="inlineStr">
        <is>
          <t>Varginha</t>
        </is>
      </c>
      <c r="D331" s="16" t="n">
        <v>15935</v>
      </c>
      <c r="E331" s="8" t="n">
        <v>335.587</v>
      </c>
      <c r="F331" s="7" t="n">
        <v>-21.82189</v>
      </c>
      <c r="G331" s="7" t="n">
        <v>-45.42558804</v>
      </c>
      <c r="H331" s="8" t="n">
        <v>120.6635</v>
      </c>
      <c r="I331" s="6" t="inlineStr">
        <is>
          <t>MÉDIO</t>
        </is>
      </c>
      <c r="J331" s="6" t="inlineStr">
        <is>
          <t>swine</t>
        </is>
      </c>
      <c r="K331" s="6" t="n">
        <v>12</v>
      </c>
    </row>
    <row r="332">
      <c r="A332" s="6" t="inlineStr">
        <is>
          <t>3144102</t>
        </is>
      </c>
      <c r="B332" s="6" t="inlineStr">
        <is>
          <t>3144102</t>
        </is>
      </c>
      <c r="C332" s="4" t="inlineStr">
        <is>
          <t>Varginha</t>
        </is>
      </c>
      <c r="D332" s="16" t="n">
        <v>21891</v>
      </c>
      <c r="E332" s="8" t="n">
        <v>409.948</v>
      </c>
      <c r="F332" s="7" t="n">
        <v>-21.373176</v>
      </c>
      <c r="G332" s="7" t="n">
        <v>-46.53558379</v>
      </c>
      <c r="H332" s="8" t="n">
        <v>120.538</v>
      </c>
      <c r="I332" s="6" t="inlineStr">
        <is>
          <t>MÉDIO</t>
        </is>
      </c>
      <c r="J332" s="6" t="inlineStr">
        <is>
          <t>swine</t>
        </is>
      </c>
      <c r="K332" s="6" t="n">
        <v>11</v>
      </c>
    </row>
    <row r="333">
      <c r="A333" s="6" t="inlineStr">
        <is>
          <t>3149150</t>
        </is>
      </c>
      <c r="B333" s="6" t="inlineStr">
        <is>
          <t>3149150</t>
        </is>
      </c>
      <c r="C333" s="4" t="inlineStr">
        <is>
          <t>Montes Claros</t>
        </is>
      </c>
      <c r="D333" s="16" t="n">
        <v>10433</v>
      </c>
      <c r="E333" s="8" t="n">
        <v>1525.648</v>
      </c>
      <c r="F333" s="7" t="n">
        <v>-15.581553</v>
      </c>
      <c r="G333" s="7" t="n">
        <v>-44.23950186</v>
      </c>
      <c r="H333" s="8" t="n">
        <v>120.4241</v>
      </c>
      <c r="I333" s="6" t="inlineStr">
        <is>
          <t>MÉDIO</t>
        </is>
      </c>
      <c r="J333" s="6" t="inlineStr">
        <is>
          <t>swine</t>
        </is>
      </c>
      <c r="K333" s="6" t="n">
        <v>7</v>
      </c>
    </row>
    <row r="334">
      <c r="A334" s="6" t="inlineStr">
        <is>
          <t>3107208</t>
        </is>
      </c>
      <c r="B334" s="6" t="inlineStr">
        <is>
          <t>3107208</t>
        </is>
      </c>
      <c r="C334" s="4" t="inlineStr">
        <is>
          <t>Juíz de Fora</t>
        </is>
      </c>
      <c r="D334" s="16" t="n">
        <v>5348</v>
      </c>
      <c r="E334" s="8" t="n">
        <v>503.77</v>
      </c>
      <c r="F334" s="7" t="n">
        <v>-22.2413165</v>
      </c>
      <c r="G334" s="7" t="n">
        <v>-44.48091304</v>
      </c>
      <c r="H334" s="8" t="n">
        <v>119.9016</v>
      </c>
      <c r="I334" s="6" t="inlineStr">
        <is>
          <t>MÉDIO</t>
        </is>
      </c>
      <c r="J334" s="6" t="inlineStr">
        <is>
          <t>swine</t>
        </is>
      </c>
      <c r="K334" s="6" t="n">
        <v>8</v>
      </c>
    </row>
    <row r="335">
      <c r="A335" s="6" t="inlineStr">
        <is>
          <t>3122009</t>
        </is>
      </c>
      <c r="B335" s="6" t="inlineStr">
        <is>
          <t>3122009</t>
        </is>
      </c>
      <c r="C335" s="4" t="inlineStr">
        <is>
          <t>Juíz de Fora</t>
        </is>
      </c>
      <c r="D335" s="16" t="n">
        <v>20706</v>
      </c>
      <c r="E335" s="8" t="n">
        <v>337.776</v>
      </c>
      <c r="F335" s="7" t="n">
        <v>-20.57942</v>
      </c>
      <c r="G335" s="7" t="n">
        <v>-42.13250505</v>
      </c>
      <c r="H335" s="8" t="n">
        <v>119.848</v>
      </c>
      <c r="I335" s="6" t="inlineStr">
        <is>
          <t>MÉDIO</t>
        </is>
      </c>
      <c r="J335" s="6" t="inlineStr">
        <is>
          <t>swine</t>
        </is>
      </c>
      <c r="K335" s="6" t="n">
        <v>9</v>
      </c>
    </row>
    <row r="336">
      <c r="A336" s="6" t="inlineStr">
        <is>
          <t>3112406</t>
        </is>
      </c>
      <c r="B336" s="6" t="inlineStr">
        <is>
          <t>3112406</t>
        </is>
      </c>
      <c r="C336" s="4" t="inlineStr">
        <is>
          <t>Varginha</t>
        </is>
      </c>
      <c r="D336" s="16" t="n">
        <v>6562</v>
      </c>
      <c r="E336" s="8" t="n">
        <v>297.937</v>
      </c>
      <c r="F336" s="7" t="n">
        <v>-20.6608055</v>
      </c>
      <c r="G336" s="7" t="n">
        <v>-47.04832948</v>
      </c>
      <c r="H336" s="8" t="n">
        <v>119.3829</v>
      </c>
      <c r="I336" s="6" t="inlineStr">
        <is>
          <t>MÉDIO</t>
        </is>
      </c>
      <c r="J336" s="6" t="inlineStr">
        <is>
          <t>swine</t>
        </is>
      </c>
      <c r="K336" s="6" t="n">
        <v>11</v>
      </c>
    </row>
    <row r="337">
      <c r="A337" s="6" t="inlineStr">
        <is>
          <t>3171303</t>
        </is>
      </c>
      <c r="B337" s="6" t="inlineStr">
        <is>
          <t>3171303</t>
        </is>
      </c>
      <c r="C337" s="4" t="inlineStr">
        <is>
          <t>Juíz de Fora</t>
        </is>
      </c>
      <c r="D337" s="16" t="n">
        <v>76430</v>
      </c>
      <c r="E337" s="8" t="n">
        <v>299.418</v>
      </c>
      <c r="F337" s="7" t="n">
        <v>-20.7468415</v>
      </c>
      <c r="G337" s="7" t="n">
        <v>-42.8776524</v>
      </c>
      <c r="H337" s="8" t="n">
        <v>119.0023</v>
      </c>
      <c r="I337" s="6" t="inlineStr">
        <is>
          <t>MÉDIO</t>
        </is>
      </c>
      <c r="J337" s="6" t="inlineStr">
        <is>
          <t>swine</t>
        </is>
      </c>
      <c r="K337" s="6" t="n">
        <v>10</v>
      </c>
    </row>
    <row r="338">
      <c r="A338" s="6" t="inlineStr">
        <is>
          <t>3112802</t>
        </is>
      </c>
      <c r="B338" s="6" t="inlineStr">
        <is>
          <t>3112802</t>
        </is>
      </c>
      <c r="C338" s="4" t="inlineStr">
        <is>
          <t>Varginha</t>
        </is>
      </c>
      <c r="D338" s="16" t="n">
        <v>10380</v>
      </c>
      <c r="E338" s="8" t="n">
        <v>521.802</v>
      </c>
      <c r="F338" s="7" t="n">
        <v>-20.611404</v>
      </c>
      <c r="G338" s="7" t="n">
        <v>-46.13262433</v>
      </c>
      <c r="H338" s="8" t="n">
        <v>118.7638</v>
      </c>
      <c r="I338" s="6" t="inlineStr">
        <is>
          <t>MÉDIO</t>
        </is>
      </c>
      <c r="J338" s="6" t="inlineStr">
        <is>
          <t>swine</t>
        </is>
      </c>
      <c r="K338" s="6" t="n">
        <v>12</v>
      </c>
    </row>
    <row r="339">
      <c r="A339" s="6" t="inlineStr">
        <is>
          <t>3141405</t>
        </is>
      </c>
      <c r="B339" s="6" t="inlineStr">
        <is>
          <t>3141405</t>
        </is>
      </c>
      <c r="C339" s="4" t="inlineStr">
        <is>
          <t>Teófilo Otoni</t>
        </is>
      </c>
      <c r="D339" s="16" t="n">
        <v>20156</v>
      </c>
      <c r="E339" s="8" t="n">
        <v>1435.903</v>
      </c>
      <c r="F339" s="7" t="n">
        <v>-16.311879</v>
      </c>
      <c r="G339" s="7" t="n">
        <v>-41.46984779</v>
      </c>
      <c r="H339" s="8" t="n">
        <v>118.4124</v>
      </c>
      <c r="I339" s="6" t="inlineStr">
        <is>
          <t>MÉDIO</t>
        </is>
      </c>
      <c r="J339" s="6" t="inlineStr">
        <is>
          <t>swine</t>
        </is>
      </c>
      <c r="K339" s="6" t="n">
        <v>10</v>
      </c>
    </row>
    <row r="340">
      <c r="A340" s="6" t="inlineStr">
        <is>
          <t>3158508</t>
        </is>
      </c>
      <c r="B340" s="6" t="inlineStr">
        <is>
          <t>3158508</t>
        </is>
      </c>
      <c r="C340" s="4" t="inlineStr">
        <is>
          <t>Belo Horizonte</t>
        </is>
      </c>
      <c r="D340" s="16" t="n">
        <v>7030</v>
      </c>
      <c r="E340" s="8" t="n">
        <v>1255.832</v>
      </c>
      <c r="F340" s="7" t="n">
        <v>-18.888149</v>
      </c>
      <c r="G340" s="7" t="n">
        <v>-43.86727352</v>
      </c>
      <c r="H340" s="8" t="n">
        <v>117.8731</v>
      </c>
      <c r="I340" s="6" t="inlineStr">
        <is>
          <t>MÉDIO</t>
        </is>
      </c>
      <c r="J340" s="6" t="inlineStr">
        <is>
          <t>swine</t>
        </is>
      </c>
      <c r="K340" s="6" t="n">
        <v>8</v>
      </c>
    </row>
    <row r="341">
      <c r="A341" s="6" t="inlineStr">
        <is>
          <t>3136959</t>
        </is>
      </c>
      <c r="B341" s="6" t="inlineStr">
        <is>
          <t>3136959</t>
        </is>
      </c>
      <c r="C341" s="4" t="inlineStr">
        <is>
          <t>Montes Claros</t>
        </is>
      </c>
      <c r="D341" s="16" t="n">
        <v>5789</v>
      </c>
      <c r="E341" s="8" t="n">
        <v>1064.692</v>
      </c>
      <c r="F341" s="7" t="n">
        <v>-14.399213</v>
      </c>
      <c r="G341" s="7" t="n">
        <v>-43.95039373</v>
      </c>
      <c r="H341" s="8" t="n">
        <v>117.7919</v>
      </c>
      <c r="I341" s="6" t="inlineStr">
        <is>
          <t>MÉDIO</t>
        </is>
      </c>
      <c r="J341" s="6" t="inlineStr">
        <is>
          <t>swine</t>
        </is>
      </c>
      <c r="K341" s="6" t="n">
        <v>8</v>
      </c>
    </row>
    <row r="342">
      <c r="A342" s="6" t="inlineStr">
        <is>
          <t>3134806</t>
        </is>
      </c>
      <c r="B342" s="6" t="inlineStr">
        <is>
          <t>3134806</t>
        </is>
      </c>
      <c r="C342" s="4" t="inlineStr">
        <is>
          <t>Varginha</t>
        </is>
      </c>
      <c r="D342" s="16" t="n">
        <v>7495</v>
      </c>
      <c r="E342" s="8" t="n">
        <v>409.229</v>
      </c>
      <c r="F342" s="7" t="n">
        <v>-21.0242345</v>
      </c>
      <c r="G342" s="7" t="n">
        <v>-46.75882803</v>
      </c>
      <c r="H342" s="8" t="n">
        <v>117.4611</v>
      </c>
      <c r="I342" s="6" t="inlineStr">
        <is>
          <t>MÉDIO</t>
        </is>
      </c>
      <c r="J342" s="6" t="inlineStr">
        <is>
          <t>swine</t>
        </is>
      </c>
      <c r="K342" s="6" t="n">
        <v>12</v>
      </c>
    </row>
    <row r="343">
      <c r="A343" s="6" t="inlineStr">
        <is>
          <t>3115359</t>
        </is>
      </c>
      <c r="B343" s="6" t="inlineStr">
        <is>
          <t>3115359</t>
        </is>
      </c>
      <c r="C343" s="4" t="inlineStr">
        <is>
          <t>Belo Horizonte</t>
        </is>
      </c>
      <c r="D343" s="16" t="n">
        <v>5473</v>
      </c>
      <c r="E343" s="8" t="n">
        <v>240.042</v>
      </c>
      <c r="F343" s="7" t="n">
        <v>-20.068948</v>
      </c>
      <c r="G343" s="7" t="n">
        <v>-43.40211203</v>
      </c>
      <c r="H343" s="8" t="n">
        <v>117.2996</v>
      </c>
      <c r="I343" s="6" t="inlineStr">
        <is>
          <t>MÉDIO</t>
        </is>
      </c>
      <c r="J343" s="6" t="inlineStr">
        <is>
          <t>forestry</t>
        </is>
      </c>
      <c r="K343" s="6" t="n">
        <v>10</v>
      </c>
    </row>
    <row r="344">
      <c r="A344" s="6" t="inlineStr">
        <is>
          <t>3124104</t>
        </is>
      </c>
      <c r="B344" s="6" t="inlineStr">
        <is>
          <t>3124104</t>
        </is>
      </c>
      <c r="C344" s="4" t="inlineStr">
        <is>
          <t>Belo Horizonte</t>
        </is>
      </c>
      <c r="D344" s="16" t="n">
        <v>85598</v>
      </c>
      <c r="E344" s="8" t="n">
        <v>909.727</v>
      </c>
      <c r="F344" s="7" t="n">
        <v>-19.761446</v>
      </c>
      <c r="G344" s="7" t="n">
        <v>-44.30336736</v>
      </c>
      <c r="H344" s="8" t="n">
        <v>116.2592</v>
      </c>
      <c r="I344" s="6" t="inlineStr">
        <is>
          <t>MÉDIO</t>
        </is>
      </c>
      <c r="J344" s="6" t="inlineStr">
        <is>
          <t>swine</t>
        </is>
      </c>
      <c r="K344" s="6" t="n">
        <v>9</v>
      </c>
    </row>
    <row r="345">
      <c r="A345" s="6" t="inlineStr">
        <is>
          <t>3157278</t>
        </is>
      </c>
      <c r="B345" s="6" t="inlineStr">
        <is>
          <t>3157278</t>
        </is>
      </c>
      <c r="C345" s="4" t="inlineStr">
        <is>
          <t>Juíz de Fora</t>
        </is>
      </c>
      <c r="D345" s="16" t="n">
        <v>3095</v>
      </c>
      <c r="E345" s="8" t="n">
        <v>417.925</v>
      </c>
      <c r="F345" s="7" t="n">
        <v>-21.9618635</v>
      </c>
      <c r="G345" s="7" t="n">
        <v>-43.71229611</v>
      </c>
      <c r="H345" s="8" t="n">
        <v>116.1568</v>
      </c>
      <c r="I345" s="6" t="inlineStr">
        <is>
          <t>MÉDIO</t>
        </is>
      </c>
      <c r="J345" s="6" t="inlineStr">
        <is>
          <t>swine</t>
        </is>
      </c>
      <c r="K345" s="6" t="n">
        <v>9</v>
      </c>
    </row>
    <row r="346">
      <c r="A346" s="6" t="inlineStr">
        <is>
          <t>3157906</t>
        </is>
      </c>
      <c r="B346" s="6" t="inlineStr">
        <is>
          <t>3157906</t>
        </is>
      </c>
      <c r="C346" s="4" t="inlineStr">
        <is>
          <t>Juíz de Fora</t>
        </is>
      </c>
      <c r="D346" s="16" t="n">
        <v>16395</v>
      </c>
      <c r="E346" s="8" t="n">
        <v>255.73</v>
      </c>
      <c r="F346" s="7" t="n">
        <v>-20.4385925</v>
      </c>
      <c r="G346" s="7" t="n">
        <v>-42.2746482</v>
      </c>
      <c r="H346" s="8" t="n">
        <v>115.8368</v>
      </c>
      <c r="I346" s="6" t="inlineStr">
        <is>
          <t>MÉDIO</t>
        </is>
      </c>
      <c r="J346" s="6" t="inlineStr">
        <is>
          <t>swine</t>
        </is>
      </c>
      <c r="K346" s="6" t="n">
        <v>9</v>
      </c>
    </row>
    <row r="347">
      <c r="A347" s="6" t="inlineStr">
        <is>
          <t>3120706</t>
        </is>
      </c>
      <c r="B347" s="6" t="inlineStr">
        <is>
          <t>3120706</t>
        </is>
      </c>
      <c r="C347" s="4" t="inlineStr">
        <is>
          <t>Patos de Minas</t>
        </is>
      </c>
      <c r="D347" s="16" t="n">
        <v>3521</v>
      </c>
      <c r="E347" s="8" t="n">
        <v>187.446</v>
      </c>
      <c r="F347" s="7" t="n">
        <v>-18.961452</v>
      </c>
      <c r="G347" s="7" t="n">
        <v>-46.69548856</v>
      </c>
      <c r="H347" s="8" t="n">
        <v>115.3108</v>
      </c>
      <c r="I347" s="6" t="inlineStr">
        <is>
          <t>MÉDIO</t>
        </is>
      </c>
      <c r="J347" s="6" t="inlineStr">
        <is>
          <t>swine</t>
        </is>
      </c>
      <c r="K347" s="6" t="n">
        <v>10</v>
      </c>
    </row>
    <row r="348">
      <c r="A348" s="6" t="inlineStr">
        <is>
          <t>3105400</t>
        </is>
      </c>
      <c r="B348" s="6" t="inlineStr">
        <is>
          <t>3105400</t>
        </is>
      </c>
      <c r="C348" s="4" t="inlineStr">
        <is>
          <t>Belo Horizonte</t>
        </is>
      </c>
      <c r="D348" s="16" t="n">
        <v>30778</v>
      </c>
      <c r="E348" s="8" t="n">
        <v>340.14</v>
      </c>
      <c r="F348" s="7" t="n">
        <v>-19.896333</v>
      </c>
      <c r="G348" s="7" t="n">
        <v>-43.47171061</v>
      </c>
      <c r="H348" s="8" t="n">
        <v>114.976</v>
      </c>
      <c r="I348" s="6" t="inlineStr">
        <is>
          <t>MÉDIO</t>
        </is>
      </c>
      <c r="J348" s="6" t="inlineStr">
        <is>
          <t>forestry</t>
        </is>
      </c>
      <c r="K348" s="6" t="n">
        <v>8</v>
      </c>
    </row>
    <row r="349">
      <c r="A349" s="6" t="inlineStr">
        <is>
          <t>3134608</t>
        </is>
      </c>
      <c r="B349" s="6" t="inlineStr">
        <is>
          <t>3134608</t>
        </is>
      </c>
      <c r="C349" s="4" t="inlineStr">
        <is>
          <t>Belo Horizonte</t>
        </is>
      </c>
      <c r="D349" s="16" t="n">
        <v>20406</v>
      </c>
      <c r="E349" s="8" t="n">
        <v>1114.972</v>
      </c>
      <c r="F349" s="7" t="n">
        <v>-19.4225325</v>
      </c>
      <c r="G349" s="7" t="n">
        <v>-43.70323871</v>
      </c>
      <c r="H349" s="8" t="n">
        <v>114.787</v>
      </c>
      <c r="I349" s="6" t="inlineStr">
        <is>
          <t>MÉDIO</t>
        </is>
      </c>
      <c r="J349" s="6" t="inlineStr">
        <is>
          <t>swine</t>
        </is>
      </c>
      <c r="K349" s="6" t="n">
        <v>10</v>
      </c>
    </row>
    <row r="350">
      <c r="A350" s="6" t="inlineStr">
        <is>
          <t>3128709</t>
        </is>
      </c>
      <c r="B350" s="6" t="inlineStr">
        <is>
          <t>3128709</t>
        </is>
      </c>
      <c r="C350" s="4" t="inlineStr">
        <is>
          <t>Varginha</t>
        </is>
      </c>
      <c r="D350" s="16" t="n">
        <v>50911</v>
      </c>
      <c r="E350" s="8" t="n">
        <v>286.398</v>
      </c>
      <c r="F350" s="7" t="n">
        <v>-21.2907205</v>
      </c>
      <c r="G350" s="7" t="n">
        <v>-46.67906659</v>
      </c>
      <c r="H350" s="8" t="n">
        <v>113.8422</v>
      </c>
      <c r="I350" s="6" t="inlineStr">
        <is>
          <t>MÉDIO</t>
        </is>
      </c>
      <c r="J350" s="6" t="inlineStr">
        <is>
          <t>swine</t>
        </is>
      </c>
      <c r="K350" s="6" t="n">
        <v>11</v>
      </c>
    </row>
    <row r="351">
      <c r="A351" s="6" t="inlineStr">
        <is>
          <t>3158904</t>
        </is>
      </c>
      <c r="B351" s="6" t="inlineStr">
        <is>
          <t>3158904</t>
        </is>
      </c>
      <c r="C351" s="4" t="inlineStr">
        <is>
          <t>Juíz de Fora</t>
        </is>
      </c>
      <c r="D351" s="16" t="n">
        <v>8987</v>
      </c>
      <c r="E351" s="8" t="n">
        <v>347.362</v>
      </c>
      <c r="F351" s="7" t="n">
        <v>-20.049974</v>
      </c>
      <c r="G351" s="7" t="n">
        <v>-41.8997555</v>
      </c>
      <c r="H351" s="8" t="n">
        <v>112.9648</v>
      </c>
      <c r="I351" s="6" t="inlineStr">
        <is>
          <t>MÉDIO</t>
        </is>
      </c>
      <c r="J351" s="6" t="inlineStr">
        <is>
          <t>swine</t>
        </is>
      </c>
      <c r="K351" s="6" t="n">
        <v>10</v>
      </c>
    </row>
    <row r="352">
      <c r="A352" s="6" t="inlineStr">
        <is>
          <t>3158003</t>
        </is>
      </c>
      <c r="B352" s="6" t="inlineStr">
        <is>
          <t>3158003</t>
        </is>
      </c>
      <c r="C352" s="4" t="inlineStr">
        <is>
          <t>Belo Horizonte</t>
        </is>
      </c>
      <c r="D352" s="16" t="n">
        <v>10485</v>
      </c>
      <c r="E352" s="8" t="n">
        <v>597.441</v>
      </c>
      <c r="F352" s="7" t="n">
        <v>-19.431125</v>
      </c>
      <c r="G352" s="7" t="n">
        <v>-43.13132285</v>
      </c>
      <c r="H352" s="8" t="n">
        <v>112.5731</v>
      </c>
      <c r="I352" s="6" t="inlineStr">
        <is>
          <t>MÉDIO</t>
        </is>
      </c>
      <c r="J352" s="6" t="inlineStr">
        <is>
          <t>forestry</t>
        </is>
      </c>
      <c r="K352" s="6" t="n">
        <v>8</v>
      </c>
    </row>
    <row r="353">
      <c r="A353" s="6" t="inlineStr">
        <is>
          <t>3130655</t>
        </is>
      </c>
      <c r="B353" s="6" t="inlineStr">
        <is>
          <t>3130655</t>
        </is>
      </c>
      <c r="C353" s="4" t="inlineStr">
        <is>
          <t>Montes Claros</t>
        </is>
      </c>
      <c r="D353" s="16" t="n">
        <v>6346</v>
      </c>
      <c r="E353" s="8" t="n">
        <v>1004.149</v>
      </c>
      <c r="F353" s="7" t="n">
        <v>-15.563807</v>
      </c>
      <c r="G353" s="7" t="n">
        <v>-42.14970107</v>
      </c>
      <c r="H353" s="8" t="n">
        <v>112.4755</v>
      </c>
      <c r="I353" s="6" t="inlineStr">
        <is>
          <t>MÉDIO</t>
        </is>
      </c>
      <c r="J353" s="6" t="inlineStr">
        <is>
          <t>swine</t>
        </is>
      </c>
      <c r="K353" s="6" t="n">
        <v>10</v>
      </c>
    </row>
    <row r="354">
      <c r="A354" s="6" t="inlineStr">
        <is>
          <t>3113008</t>
        </is>
      </c>
      <c r="B354" s="6" t="inlineStr">
        <is>
          <t>3113008</t>
        </is>
      </c>
      <c r="C354" s="4" t="inlineStr">
        <is>
          <t>Teófilo Otoni</t>
        </is>
      </c>
      <c r="D354" s="16" t="n">
        <v>19548</v>
      </c>
      <c r="E354" s="8" t="n">
        <v>1242.345</v>
      </c>
      <c r="F354" s="7" t="n">
        <v>-17.163188</v>
      </c>
      <c r="G354" s="7" t="n">
        <v>-41.47181689</v>
      </c>
      <c r="H354" s="8" t="n">
        <v>111.721</v>
      </c>
      <c r="I354" s="6" t="inlineStr">
        <is>
          <t>MÉDIO</t>
        </is>
      </c>
      <c r="J354" s="6" t="inlineStr">
        <is>
          <t>swine</t>
        </is>
      </c>
      <c r="K354" s="6" t="n">
        <v>10</v>
      </c>
    </row>
    <row r="355">
      <c r="A355" s="6" t="inlineStr">
        <is>
          <t>3167103</t>
        </is>
      </c>
      <c r="B355" s="6" t="inlineStr">
        <is>
          <t>3167103</t>
        </is>
      </c>
      <c r="C355" s="4" t="inlineStr">
        <is>
          <t>Teófilo Otoni</t>
        </is>
      </c>
      <c r="D355" s="16" t="n">
        <v>21952</v>
      </c>
      <c r="E355" s="8" t="n">
        <v>1217.813</v>
      </c>
      <c r="F355" s="7" t="n">
        <v>-18.5175175</v>
      </c>
      <c r="G355" s="7" t="n">
        <v>-43.49000827</v>
      </c>
      <c r="H355" s="8" t="n">
        <v>111.0293</v>
      </c>
      <c r="I355" s="6" t="inlineStr">
        <is>
          <t>MÉDIO</t>
        </is>
      </c>
      <c r="J355" s="6" t="inlineStr">
        <is>
          <t>swine</t>
        </is>
      </c>
      <c r="K355" s="6" t="n">
        <v>11</v>
      </c>
    </row>
    <row r="356">
      <c r="A356" s="6" t="inlineStr">
        <is>
          <t>3134707</t>
        </is>
      </c>
      <c r="B356" s="6" t="inlineStr">
        <is>
          <t>3134707</t>
        </is>
      </c>
      <c r="C356" s="4" t="inlineStr">
        <is>
          <t>Teófilo Otoni</t>
        </is>
      </c>
      <c r="D356" s="16" t="n">
        <v>11042</v>
      </c>
      <c r="E356" s="8" t="n">
        <v>1393.609</v>
      </c>
      <c r="F356" s="7" t="n">
        <v>-16.194801</v>
      </c>
      <c r="G356" s="7" t="n">
        <v>-40.31523766</v>
      </c>
      <c r="H356" s="8" t="n">
        <v>110.9827</v>
      </c>
      <c r="I356" s="6" t="inlineStr">
        <is>
          <t>MÉDIO</t>
        </is>
      </c>
      <c r="J356" s="6" t="inlineStr">
        <is>
          <t>swine</t>
        </is>
      </c>
      <c r="K356" s="6" t="n">
        <v>7</v>
      </c>
    </row>
    <row r="357">
      <c r="A357" s="6" t="inlineStr">
        <is>
          <t>3122405</t>
        </is>
      </c>
      <c r="B357" s="6" t="inlineStr">
        <is>
          <t>3122405</t>
        </is>
      </c>
      <c r="C357" s="4" t="inlineStr">
        <is>
          <t>Varginha</t>
        </is>
      </c>
      <c r="D357" s="16" t="n">
        <v>5851</v>
      </c>
      <c r="E357" s="8" t="n">
        <v>216.955</v>
      </c>
      <c r="F357" s="7" t="n">
        <v>-21.515857</v>
      </c>
      <c r="G357" s="7" t="n">
        <v>-46.24519036</v>
      </c>
      <c r="H357" s="8" t="n">
        <v>110.8862</v>
      </c>
      <c r="I357" s="6" t="inlineStr">
        <is>
          <t>MÉDIO</t>
        </is>
      </c>
      <c r="J357" s="6" t="inlineStr">
        <is>
          <t>corn</t>
        </is>
      </c>
      <c r="K357" s="6" t="n">
        <v>12</v>
      </c>
    </row>
    <row r="358">
      <c r="A358" s="6" t="inlineStr">
        <is>
          <t>3162906</t>
        </is>
      </c>
      <c r="B358" s="6" t="inlineStr">
        <is>
          <t>3162906</t>
        </is>
      </c>
      <c r="C358" s="4" t="inlineStr">
        <is>
          <t>Juíz de Fora</t>
        </is>
      </c>
      <c r="D358" s="16" t="n">
        <v>25565</v>
      </c>
      <c r="E358" s="8" t="n">
        <v>407.427</v>
      </c>
      <c r="F358" s="7" t="n">
        <v>-21.5875785</v>
      </c>
      <c r="G358" s="7" t="n">
        <v>-42.94002838</v>
      </c>
      <c r="H358" s="8" t="n">
        <v>110.5066</v>
      </c>
      <c r="I358" s="6" t="inlineStr">
        <is>
          <t>MÉDIO</t>
        </is>
      </c>
      <c r="J358" s="6" t="inlineStr">
        <is>
          <t>swine</t>
        </is>
      </c>
      <c r="K358" s="6" t="n">
        <v>9</v>
      </c>
    </row>
    <row r="359">
      <c r="A359" s="6" t="inlineStr">
        <is>
          <t>3128204</t>
        </is>
      </c>
      <c r="B359" s="6" t="inlineStr">
        <is>
          <t>3128204</t>
        </is>
      </c>
      <c r="C359" s="4" t="inlineStr">
        <is>
          <t>Juíz de Fora</t>
        </is>
      </c>
      <c r="D359" s="16" t="n">
        <v>9753</v>
      </c>
      <c r="E359" s="8" t="n">
        <v>348.596</v>
      </c>
      <c r="F359" s="7" t="n">
        <v>-20.5636275</v>
      </c>
      <c r="G359" s="7" t="n">
        <v>-43.01588831</v>
      </c>
      <c r="H359" s="8" t="n">
        <v>110.3305</v>
      </c>
      <c r="I359" s="6" t="inlineStr">
        <is>
          <t>MÉDIO</t>
        </is>
      </c>
      <c r="J359" s="6" t="inlineStr">
        <is>
          <t>swine</t>
        </is>
      </c>
      <c r="K359" s="6" t="n">
        <v>10</v>
      </c>
    </row>
    <row r="360">
      <c r="A360" s="6" t="inlineStr">
        <is>
          <t>3111309</t>
        </is>
      </c>
      <c r="B360" s="6" t="inlineStr">
        <is>
          <t>3111309</t>
        </is>
      </c>
      <c r="C360" s="4" t="inlineStr">
        <is>
          <t>Varginha</t>
        </is>
      </c>
      <c r="D360" s="16" t="n">
        <v>11377</v>
      </c>
      <c r="E360" s="8" t="n">
        <v>275.426</v>
      </c>
      <c r="F360" s="7" t="n">
        <v>-21.106676</v>
      </c>
      <c r="G360" s="7" t="n">
        <v>-45.83148511</v>
      </c>
      <c r="H360" s="8" t="n">
        <v>110.1875</v>
      </c>
      <c r="I360" s="6" t="inlineStr">
        <is>
          <t>MÉDIO</t>
        </is>
      </c>
      <c r="J360" s="6" t="inlineStr">
        <is>
          <t>corn</t>
        </is>
      </c>
      <c r="K360" s="6" t="n">
        <v>11</v>
      </c>
    </row>
    <row r="361">
      <c r="A361" s="6" t="inlineStr">
        <is>
          <t>3113305</t>
        </is>
      </c>
      <c r="B361" s="6" t="inlineStr">
        <is>
          <t>3113305</t>
        </is>
      </c>
      <c r="C361" s="4" t="inlineStr">
        <is>
          <t>Juíz de Fora</t>
        </is>
      </c>
      <c r="D361" s="16" t="n">
        <v>31240</v>
      </c>
      <c r="E361" s="8" t="n">
        <v>353.404</v>
      </c>
      <c r="F361" s="7" t="n">
        <v>-20.7072655</v>
      </c>
      <c r="G361" s="7" t="n">
        <v>-42.10062679</v>
      </c>
      <c r="H361" s="8" t="n">
        <v>109.9989</v>
      </c>
      <c r="I361" s="6" t="inlineStr">
        <is>
          <t>MÉDIO</t>
        </is>
      </c>
      <c r="J361" s="6" t="inlineStr">
        <is>
          <t>swine</t>
        </is>
      </c>
      <c r="K361" s="6" t="n">
        <v>9</v>
      </c>
    </row>
    <row r="362">
      <c r="A362" s="6" t="inlineStr">
        <is>
          <t>3123502</t>
        </is>
      </c>
      <c r="B362" s="6" t="inlineStr">
        <is>
          <t>3123502</t>
        </is>
      </c>
      <c r="C362" s="4" t="inlineStr">
        <is>
          <t>Uberlândia</t>
        </is>
      </c>
      <c r="D362" s="16" t="n">
        <v>1829</v>
      </c>
      <c r="E362" s="8" t="n">
        <v>312.878</v>
      </c>
      <c r="F362" s="7" t="n">
        <v>-18.4433665</v>
      </c>
      <c r="G362" s="7" t="n">
        <v>-47.60523835</v>
      </c>
      <c r="H362" s="8" t="n">
        <v>109.7775</v>
      </c>
      <c r="I362" s="6" t="inlineStr">
        <is>
          <t>MÉDIO</t>
        </is>
      </c>
      <c r="J362" s="6" t="inlineStr">
        <is>
          <t>swine</t>
        </is>
      </c>
      <c r="K362" s="6" t="n">
        <v>9</v>
      </c>
    </row>
    <row r="363">
      <c r="A363" s="6" t="inlineStr">
        <is>
          <t>3129608</t>
        </is>
      </c>
      <c r="B363" s="6" t="inlineStr">
        <is>
          <t>3129608</t>
        </is>
      </c>
      <c r="C363" s="4" t="inlineStr">
        <is>
          <t>Montes Claros</t>
        </is>
      </c>
      <c r="D363" s="16" t="n">
        <v>6286</v>
      </c>
      <c r="E363" s="8" t="n">
        <v>874.76</v>
      </c>
      <c r="F363" s="7" t="n">
        <v>-16.8325495</v>
      </c>
      <c r="G363" s="7" t="n">
        <v>-44.77505814</v>
      </c>
      <c r="H363" s="8" t="n">
        <v>109.1501</v>
      </c>
      <c r="I363" s="6" t="inlineStr">
        <is>
          <t>MÉDIO</t>
        </is>
      </c>
      <c r="J363" s="6" t="inlineStr">
        <is>
          <t>swine</t>
        </is>
      </c>
      <c r="K363" s="6" t="n">
        <v>9</v>
      </c>
    </row>
    <row r="364">
      <c r="A364" s="6" t="inlineStr">
        <is>
          <t>3163102</t>
        </is>
      </c>
      <c r="B364" s="6" t="inlineStr">
        <is>
          <t>3163102</t>
        </is>
      </c>
      <c r="C364" s="4" t="inlineStr">
        <is>
          <t>Divinópolis</t>
        </is>
      </c>
      <c r="D364" s="16" t="n">
        <v>4536</v>
      </c>
      <c r="E364" s="8" t="n">
        <v>205.501</v>
      </c>
      <c r="F364" s="7" t="n">
        <v>-19.699628</v>
      </c>
      <c r="G364" s="7" t="n">
        <v>-44.56408934</v>
      </c>
      <c r="H364" s="8" t="n">
        <v>108.7655</v>
      </c>
      <c r="I364" s="6" t="inlineStr">
        <is>
          <t>MÉDIO</t>
        </is>
      </c>
      <c r="J364" s="6" t="inlineStr">
        <is>
          <t>swine</t>
        </is>
      </c>
      <c r="K364" s="6" t="n">
        <v>7</v>
      </c>
    </row>
    <row r="365">
      <c r="A365" s="6" t="inlineStr">
        <is>
          <t>3149606</t>
        </is>
      </c>
      <c r="B365" s="6" t="inlineStr">
        <is>
          <t>3149606</t>
        </is>
      </c>
      <c r="C365" s="4" t="inlineStr">
        <is>
          <t>Divinópolis</t>
        </is>
      </c>
      <c r="D365" s="16" t="n">
        <v>4155</v>
      </c>
      <c r="E365" s="8" t="n">
        <v>203.991</v>
      </c>
      <c r="F365" s="7" t="n">
        <v>-19.619413</v>
      </c>
      <c r="G365" s="7" t="n">
        <v>-44.6485254</v>
      </c>
      <c r="H365" s="8" t="n">
        <v>108.3468</v>
      </c>
      <c r="I365" s="6" t="inlineStr">
        <is>
          <t>MÉDIO</t>
        </is>
      </c>
      <c r="J365" s="6" t="inlineStr">
        <is>
          <t>swine</t>
        </is>
      </c>
      <c r="K365" s="6" t="n">
        <v>9</v>
      </c>
    </row>
    <row r="366">
      <c r="A366" s="6" t="inlineStr">
        <is>
          <t>3150802</t>
        </is>
      </c>
      <c r="B366" s="6" t="inlineStr">
        <is>
          <t>3150802</t>
        </is>
      </c>
      <c r="C366" s="4" t="inlineStr">
        <is>
          <t>Barbacena</t>
        </is>
      </c>
      <c r="D366" s="16" t="n">
        <v>17018</v>
      </c>
      <c r="E366" s="8" t="n">
        <v>658.812</v>
      </c>
      <c r="F366" s="7" t="n">
        <v>-20.6253185</v>
      </c>
      <c r="G366" s="7" t="n">
        <v>-43.3105427</v>
      </c>
      <c r="H366" s="8" t="n">
        <v>108.1335</v>
      </c>
      <c r="I366" s="6" t="inlineStr">
        <is>
          <t>MÉDIO</t>
        </is>
      </c>
      <c r="J366" s="6" t="inlineStr">
        <is>
          <t>swine</t>
        </is>
      </c>
      <c r="K366" s="6" t="n">
        <v>10</v>
      </c>
    </row>
    <row r="367">
      <c r="A367" s="6" t="inlineStr">
        <is>
          <t>3141702</t>
        </is>
      </c>
      <c r="B367" s="6" t="inlineStr">
        <is>
          <t>3141702</t>
        </is>
      </c>
      <c r="C367" s="4" t="inlineStr">
        <is>
          <t>Ipatinga</t>
        </is>
      </c>
      <c r="D367" s="16" t="n">
        <v>5040</v>
      </c>
      <c r="E367" s="8" t="n">
        <v>274.938</v>
      </c>
      <c r="F367" s="7" t="n">
        <v>-19.2497415</v>
      </c>
      <c r="G367" s="7" t="n">
        <v>-42.61149765</v>
      </c>
      <c r="H367" s="8" t="n">
        <v>107.5959</v>
      </c>
      <c r="I367" s="6" t="inlineStr">
        <is>
          <t>MÉDIO</t>
        </is>
      </c>
      <c r="J367" s="6" t="inlineStr">
        <is>
          <t>forestry</t>
        </is>
      </c>
      <c r="K367" s="6" t="n">
        <v>9</v>
      </c>
    </row>
    <row r="368">
      <c r="A368" s="6" t="inlineStr">
        <is>
          <t>3130507</t>
        </is>
      </c>
      <c r="B368" s="6" t="inlineStr">
        <is>
          <t>3130507</t>
        </is>
      </c>
      <c r="C368" s="4" t="inlineStr">
        <is>
          <t>Varginha</t>
        </is>
      </c>
      <c r="D368" s="16" t="n">
        <v>12741</v>
      </c>
      <c r="E368" s="8" t="n">
        <v>376.341</v>
      </c>
      <c r="F368" s="7" t="n">
        <v>-20.9357485</v>
      </c>
      <c r="G368" s="7" t="n">
        <v>-45.78839081</v>
      </c>
      <c r="H368" s="8" t="n">
        <v>107.4108</v>
      </c>
      <c r="I368" s="6" t="inlineStr">
        <is>
          <t>MÉDIO</t>
        </is>
      </c>
      <c r="J368" s="6" t="inlineStr">
        <is>
          <t>swine</t>
        </is>
      </c>
      <c r="K368" s="6" t="n">
        <v>11</v>
      </c>
    </row>
    <row r="369">
      <c r="A369" s="6" t="inlineStr">
        <is>
          <t>3125952</t>
        </is>
      </c>
      <c r="B369" s="6" t="inlineStr">
        <is>
          <t>3125952</t>
        </is>
      </c>
      <c r="C369" s="4" t="inlineStr">
        <is>
          <t>Juíz de Fora</t>
        </is>
      </c>
      <c r="D369" s="16" t="n">
        <v>10445</v>
      </c>
      <c r="E369" s="8" t="n">
        <v>357.683</v>
      </c>
      <c r="F369" s="7" t="n">
        <v>-20.6740945</v>
      </c>
      <c r="G369" s="7" t="n">
        <v>-42.33155648</v>
      </c>
      <c r="H369" s="8" t="n">
        <v>107.3034</v>
      </c>
      <c r="I369" s="6" t="inlineStr">
        <is>
          <t>MÉDIO</t>
        </is>
      </c>
      <c r="J369" s="6" t="inlineStr">
        <is>
          <t>swine</t>
        </is>
      </c>
      <c r="K369" s="6" t="n">
        <v>10</v>
      </c>
    </row>
    <row r="370">
      <c r="A370" s="6" t="inlineStr">
        <is>
          <t>3162807</t>
        </is>
      </c>
      <c r="B370" s="6" t="inlineStr">
        <is>
          <t>3162807</t>
        </is>
      </c>
      <c r="C370" s="4" t="inlineStr">
        <is>
          <t>Governador Valadares</t>
        </is>
      </c>
      <c r="D370" s="16" t="n">
        <v>15315</v>
      </c>
      <c r="E370" s="8" t="n">
        <v>478.183</v>
      </c>
      <c r="F370" s="7" t="n">
        <v>-18.4969075</v>
      </c>
      <c r="G370" s="7" t="n">
        <v>-42.75901819</v>
      </c>
      <c r="H370" s="8" t="n">
        <v>104.764</v>
      </c>
      <c r="I370" s="6" t="inlineStr">
        <is>
          <t>MÉDIO</t>
        </is>
      </c>
      <c r="J370" s="6" t="inlineStr">
        <is>
          <t>forestry</t>
        </is>
      </c>
      <c r="K370" s="6" t="n">
        <v>9</v>
      </c>
    </row>
    <row r="371">
      <c r="A371" s="6" t="inlineStr">
        <is>
          <t>3110707</t>
        </is>
      </c>
      <c r="B371" s="6" t="inlineStr">
        <is>
          <t>3110707</t>
        </is>
      </c>
      <c r="C371" s="4" t="inlineStr">
        <is>
          <t>Varginha</t>
        </is>
      </c>
      <c r="D371" s="16" t="n">
        <v>12313</v>
      </c>
      <c r="E371" s="8" t="n">
        <v>246.38</v>
      </c>
      <c r="F371" s="7" t="n">
        <v>-21.857739</v>
      </c>
      <c r="G371" s="7" t="n">
        <v>-45.25377368</v>
      </c>
      <c r="H371" s="8" t="n">
        <v>104.7234</v>
      </c>
      <c r="I371" s="6" t="inlineStr">
        <is>
          <t>MÉDIO</t>
        </is>
      </c>
      <c r="J371" s="6" t="inlineStr">
        <is>
          <t>corn</t>
        </is>
      </c>
      <c r="K371" s="6" t="n">
        <v>11</v>
      </c>
    </row>
    <row r="372">
      <c r="A372" s="6" t="inlineStr">
        <is>
          <t>3102100</t>
        </is>
      </c>
      <c r="B372" s="6" t="inlineStr">
        <is>
          <t>3102100</t>
        </is>
      </c>
      <c r="C372" s="4" t="inlineStr">
        <is>
          <t>Barbacena</t>
        </is>
      </c>
      <c r="D372" s="16" t="n">
        <v>10891</v>
      </c>
      <c r="E372" s="8" t="n">
        <v>518.053</v>
      </c>
      <c r="F372" s="7" t="n">
        <v>-21.0478535</v>
      </c>
      <c r="G372" s="7" t="n">
        <v>-43.37608581</v>
      </c>
      <c r="H372" s="8" t="n">
        <v>104.7179</v>
      </c>
      <c r="I372" s="6" t="inlineStr">
        <is>
          <t>MÉDIO</t>
        </is>
      </c>
      <c r="J372" s="6" t="inlineStr">
        <is>
          <t>swine</t>
        </is>
      </c>
      <c r="K372" s="6" t="n">
        <v>8</v>
      </c>
    </row>
    <row r="373">
      <c r="A373" s="6" t="inlineStr">
        <is>
          <t>3105707</t>
        </is>
      </c>
      <c r="B373" s="6" t="inlineStr">
        <is>
          <t>3105707</t>
        </is>
      </c>
      <c r="C373" s="4" t="inlineStr">
        <is>
          <t>Juíz de Fora</t>
        </is>
      </c>
      <c r="D373" s="16" t="n">
        <v>5666</v>
      </c>
      <c r="E373" s="8" t="n">
        <v>383.628</v>
      </c>
      <c r="F373" s="7" t="n">
        <v>-20.2897675</v>
      </c>
      <c r="G373" s="7" t="n">
        <v>-43.06425965</v>
      </c>
      <c r="H373" s="8" t="n">
        <v>104.5843</v>
      </c>
      <c r="I373" s="6" t="inlineStr">
        <is>
          <t>MÉDIO</t>
        </is>
      </c>
      <c r="J373" s="6" t="inlineStr">
        <is>
          <t>swine</t>
        </is>
      </c>
      <c r="K373" s="6" t="n">
        <v>8</v>
      </c>
    </row>
    <row r="374">
      <c r="A374" s="6" t="inlineStr">
        <is>
          <t>3139805</t>
        </is>
      </c>
      <c r="B374" s="6" t="inlineStr">
        <is>
          <t>3139805</t>
        </is>
      </c>
      <c r="C374" s="4" t="inlineStr">
        <is>
          <t>Juíz de Fora</t>
        </is>
      </c>
      <c r="D374" s="16" t="n">
        <v>12721</v>
      </c>
      <c r="E374" s="8" t="n">
        <v>371.6</v>
      </c>
      <c r="F374" s="7" t="n">
        <v>-21.864456</v>
      </c>
      <c r="G374" s="7" t="n">
        <v>-43.00349931</v>
      </c>
      <c r="H374" s="8" t="n">
        <v>103.9974</v>
      </c>
      <c r="I374" s="6" t="inlineStr">
        <is>
          <t>MÉDIO</t>
        </is>
      </c>
      <c r="J374" s="6" t="inlineStr">
        <is>
          <t>swine</t>
        </is>
      </c>
      <c r="K374" s="6" t="n">
        <v>10</v>
      </c>
    </row>
    <row r="375">
      <c r="A375" s="6" t="inlineStr">
        <is>
          <t>3159605</t>
        </is>
      </c>
      <c r="B375" s="6" t="inlineStr">
        <is>
          <t>3159605</t>
        </is>
      </c>
      <c r="C375" s="4" t="inlineStr">
        <is>
          <t>Pouso Alegre</t>
        </is>
      </c>
      <c r="D375" s="16" t="n">
        <v>40635</v>
      </c>
      <c r="E375" s="8" t="n">
        <v>352.969</v>
      </c>
      <c r="F375" s="7" t="n">
        <v>-22.2400615</v>
      </c>
      <c r="G375" s="7" t="n">
        <v>-45.69765973</v>
      </c>
      <c r="H375" s="8" t="n">
        <v>103.8545</v>
      </c>
      <c r="I375" s="6" t="inlineStr">
        <is>
          <t>MÉDIO</t>
        </is>
      </c>
      <c r="J375" s="6" t="inlineStr">
        <is>
          <t>swine</t>
        </is>
      </c>
      <c r="K375" s="6" t="n">
        <v>12</v>
      </c>
    </row>
    <row r="376">
      <c r="A376" s="6" t="inlineStr">
        <is>
          <t>3165206</t>
        </is>
      </c>
      <c r="B376" s="6" t="inlineStr">
        <is>
          <t>3165206</t>
        </is>
      </c>
      <c r="C376" s="4" t="inlineStr">
        <is>
          <t>Varginha</t>
        </is>
      </c>
      <c r="D376" s="16" t="n">
        <v>6904</v>
      </c>
      <c r="E376" s="8" t="n">
        <v>369.747</v>
      </c>
      <c r="F376" s="7" t="n">
        <v>-21.740376</v>
      </c>
      <c r="G376" s="7" t="n">
        <v>-44.97605407</v>
      </c>
      <c r="H376" s="8" t="n">
        <v>103.667</v>
      </c>
      <c r="I376" s="6" t="inlineStr">
        <is>
          <t>MÉDIO</t>
        </is>
      </c>
      <c r="J376" s="6" t="inlineStr">
        <is>
          <t>swine</t>
        </is>
      </c>
      <c r="K376" s="6" t="n">
        <v>10</v>
      </c>
    </row>
    <row r="377">
      <c r="A377" s="6" t="inlineStr">
        <is>
          <t>3167400</t>
        </is>
      </c>
      <c r="B377" s="6" t="inlineStr">
        <is>
          <t>3167400</t>
        </is>
      </c>
      <c r="C377" s="4" t="inlineStr">
        <is>
          <t>Pouso Alegre</t>
        </is>
      </c>
      <c r="D377" s="16" t="n">
        <v>6179</v>
      </c>
      <c r="E377" s="8" t="n">
        <v>312.166</v>
      </c>
      <c r="F377" s="7" t="n">
        <v>-22.0364102</v>
      </c>
      <c r="G377" s="7" t="n">
        <v>-45.80289273</v>
      </c>
      <c r="H377" s="8" t="n">
        <v>103.6513</v>
      </c>
      <c r="I377" s="6" t="inlineStr">
        <is>
          <t>MÉDIO</t>
        </is>
      </c>
      <c r="J377" s="6" t="inlineStr">
        <is>
          <t>corn</t>
        </is>
      </c>
      <c r="K377" s="6" t="n">
        <v>11</v>
      </c>
    </row>
    <row r="378">
      <c r="A378" s="6" t="inlineStr">
        <is>
          <t>3114105</t>
        </is>
      </c>
      <c r="B378" s="6" t="inlineStr">
        <is>
          <t>3114105</t>
        </is>
      </c>
      <c r="C378" s="4" t="inlineStr">
        <is>
          <t>Pouso Alegre</t>
        </is>
      </c>
      <c r="D378" s="16" t="n">
        <v>13797</v>
      </c>
      <c r="E378" s="8" t="n">
        <v>322.285</v>
      </c>
      <c r="F378" s="7" t="n">
        <v>-22.088368</v>
      </c>
      <c r="G378" s="7" t="n">
        <v>-45.17023622</v>
      </c>
      <c r="H378" s="8" t="n">
        <v>103.085</v>
      </c>
      <c r="I378" s="6" t="inlineStr">
        <is>
          <t>MÉDIO</t>
        </is>
      </c>
      <c r="J378" s="6" t="inlineStr">
        <is>
          <t>swine</t>
        </is>
      </c>
      <c r="K378" s="6" t="n">
        <v>11</v>
      </c>
    </row>
    <row r="379">
      <c r="A379" s="6" t="inlineStr">
        <is>
          <t>3121100</t>
        </is>
      </c>
      <c r="B379" s="6" t="inlineStr">
        <is>
          <t>3121100</t>
        </is>
      </c>
      <c r="C379" s="4" t="inlineStr">
        <is>
          <t>Pouso Alegre</t>
        </is>
      </c>
      <c r="D379" s="16" t="n">
        <v>7952</v>
      </c>
      <c r="E379" s="8" t="n">
        <v>408.473</v>
      </c>
      <c r="F379" s="7" t="n">
        <v>-22.5113845</v>
      </c>
      <c r="G379" s="7" t="n">
        <v>-45.26027589</v>
      </c>
      <c r="H379" s="8" t="n">
        <v>103.0056</v>
      </c>
      <c r="I379" s="6" t="inlineStr">
        <is>
          <t>MÉDIO</t>
        </is>
      </c>
      <c r="J379" s="6" t="inlineStr">
        <is>
          <t>swine</t>
        </is>
      </c>
      <c r="K379" s="6" t="n">
        <v>9</v>
      </c>
    </row>
    <row r="380">
      <c r="A380" s="6" t="inlineStr">
        <is>
          <t>3166709</t>
        </is>
      </c>
      <c r="B380" s="6" t="inlineStr">
        <is>
          <t>3166709</t>
        </is>
      </c>
      <c r="C380" s="4" t="inlineStr">
        <is>
          <t>Teófilo Otoni</t>
        </is>
      </c>
      <c r="D380" s="16" t="n">
        <v>6944</v>
      </c>
      <c r="E380" s="8" t="n">
        <v>213.574</v>
      </c>
      <c r="F380" s="7" t="n">
        <v>-17.75341825</v>
      </c>
      <c r="G380" s="7" t="n">
        <v>-40.26182784</v>
      </c>
      <c r="H380" s="8" t="n">
        <v>102.6707</v>
      </c>
      <c r="I380" s="6" t="inlineStr">
        <is>
          <t>MÉDIO</t>
        </is>
      </c>
      <c r="J380" s="6" t="inlineStr">
        <is>
          <t>sugarcane</t>
        </is>
      </c>
      <c r="K380" s="6" t="n">
        <v>8</v>
      </c>
    </row>
    <row r="381">
      <c r="A381" s="6" t="inlineStr">
        <is>
          <t>3163904</t>
        </is>
      </c>
      <c r="B381" s="6" t="inlineStr">
        <is>
          <t>3163904</t>
        </is>
      </c>
      <c r="C381" s="4" t="inlineStr">
        <is>
          <t>Varginha</t>
        </is>
      </c>
      <c r="D381" s="16" t="n">
        <v>4885</v>
      </c>
      <c r="E381" s="8" t="n">
        <v>260.827</v>
      </c>
      <c r="F381" s="7" t="n">
        <v>-21.104541</v>
      </c>
      <c r="G381" s="7" t="n">
        <v>-46.60393132</v>
      </c>
      <c r="H381" s="8" t="n">
        <v>102.5879</v>
      </c>
      <c r="I381" s="6" t="inlineStr">
        <is>
          <t>MÉDIO</t>
        </is>
      </c>
      <c r="J381" s="6" t="inlineStr">
        <is>
          <t>swine</t>
        </is>
      </c>
      <c r="K381" s="6" t="n">
        <v>11</v>
      </c>
    </row>
    <row r="382">
      <c r="A382" s="6" t="inlineStr">
        <is>
          <t>3152170</t>
        </is>
      </c>
      <c r="B382" s="6" t="inlineStr">
        <is>
          <t>3152170</t>
        </is>
      </c>
      <c r="C382" s="4" t="inlineStr">
        <is>
          <t>Teófilo Otoni</t>
        </is>
      </c>
      <c r="D382" s="16" t="n">
        <v>10883</v>
      </c>
      <c r="E382" s="8" t="n">
        <v>1212.413</v>
      </c>
      <c r="F382" s="7" t="n">
        <v>-16.8415265</v>
      </c>
      <c r="G382" s="7" t="n">
        <v>-41.53129419</v>
      </c>
      <c r="H382" s="8" t="n">
        <v>102.3046</v>
      </c>
      <c r="I382" s="6" t="inlineStr">
        <is>
          <t>MÉDIO</t>
        </is>
      </c>
      <c r="J382" s="6" t="inlineStr">
        <is>
          <t>swine</t>
        </is>
      </c>
      <c r="K382" s="6" t="n">
        <v>10</v>
      </c>
    </row>
    <row r="383">
      <c r="A383" s="6" t="inlineStr">
        <is>
          <t>3118304</t>
        </is>
      </c>
      <c r="B383" s="6" t="inlineStr">
        <is>
          <t>3118304</t>
        </is>
      </c>
      <c r="C383" s="4" t="inlineStr">
        <is>
          <t>Barbacena</t>
        </is>
      </c>
      <c r="D383" s="16" t="n">
        <v>131621</v>
      </c>
      <c r="E383" s="8" t="n">
        <v>370.246</v>
      </c>
      <c r="F383" s="7" t="n">
        <v>-20.6695185</v>
      </c>
      <c r="G383" s="7" t="n">
        <v>-43.78787766</v>
      </c>
      <c r="H383" s="8" t="n">
        <v>101.9849</v>
      </c>
      <c r="I383" s="6" t="inlineStr">
        <is>
          <t>MÉDIO</t>
        </is>
      </c>
      <c r="J383" s="6" t="inlineStr">
        <is>
          <t>rsu_organic</t>
        </is>
      </c>
      <c r="K383" s="6" t="n">
        <v>8</v>
      </c>
    </row>
    <row r="384">
      <c r="A384" s="6" t="inlineStr">
        <is>
          <t>3150307</t>
        </is>
      </c>
      <c r="B384" s="6" t="inlineStr">
        <is>
          <t>3150307</t>
        </is>
      </c>
      <c r="C384" s="4" t="inlineStr">
        <is>
          <t>Barbacena</t>
        </is>
      </c>
      <c r="D384" s="16" t="n">
        <v>4604</v>
      </c>
      <c r="E384" s="8" t="n">
        <v>322.814</v>
      </c>
      <c r="F384" s="7" t="n">
        <v>-21.4866525</v>
      </c>
      <c r="G384" s="7" t="n">
        <v>-44.14582127</v>
      </c>
      <c r="H384" s="8" t="n">
        <v>101.9614</v>
      </c>
      <c r="I384" s="6" t="inlineStr">
        <is>
          <t>MÉDIO</t>
        </is>
      </c>
      <c r="J384" s="6" t="inlineStr">
        <is>
          <t>corn</t>
        </is>
      </c>
      <c r="K384" s="6" t="n">
        <v>10</v>
      </c>
    </row>
    <row r="385">
      <c r="A385" s="6" t="inlineStr">
        <is>
          <t>3103702</t>
        </is>
      </c>
      <c r="B385" s="6" t="inlineStr">
        <is>
          <t>3103702</t>
        </is>
      </c>
      <c r="C385" s="4" t="inlineStr">
        <is>
          <t>Juíz de Fora</t>
        </is>
      </c>
      <c r="D385" s="16" t="n">
        <v>8048</v>
      </c>
      <c r="E385" s="8" t="n">
        <v>303.793</v>
      </c>
      <c r="F385" s="7" t="n">
        <v>-20.666882</v>
      </c>
      <c r="G385" s="7" t="n">
        <v>-42.49198069</v>
      </c>
      <c r="H385" s="8" t="n">
        <v>101.7673</v>
      </c>
      <c r="I385" s="6" t="inlineStr">
        <is>
          <t>MÉDIO</t>
        </is>
      </c>
      <c r="J385" s="6" t="inlineStr">
        <is>
          <t>swine</t>
        </is>
      </c>
      <c r="K385" s="6" t="n">
        <v>9</v>
      </c>
    </row>
    <row r="386">
      <c r="A386" s="6" t="inlineStr">
        <is>
          <t>3138500</t>
        </is>
      </c>
      <c r="B386" s="6" t="inlineStr">
        <is>
          <t>3138500</t>
        </is>
      </c>
      <c r="C386" s="4" t="inlineStr">
        <is>
          <t>Juíz de Fora</t>
        </is>
      </c>
      <c r="D386" s="16" t="n">
        <v>4737</v>
      </c>
      <c r="E386" s="8" t="n">
        <v>401.337</v>
      </c>
      <c r="F386" s="7" t="n">
        <v>-22.0084495</v>
      </c>
      <c r="G386" s="7" t="n">
        <v>-44.32254312</v>
      </c>
      <c r="H386" s="8" t="n">
        <v>100.8667</v>
      </c>
      <c r="I386" s="6" t="inlineStr">
        <is>
          <t>MÉDIO</t>
        </is>
      </c>
      <c r="J386" s="6" t="inlineStr">
        <is>
          <t>swine</t>
        </is>
      </c>
      <c r="K386" s="6" t="n">
        <v>8</v>
      </c>
    </row>
    <row r="387">
      <c r="A387" s="6" t="inlineStr">
        <is>
          <t>3147402</t>
        </is>
      </c>
      <c r="B387" s="6" t="inlineStr">
        <is>
          <t>3147402</t>
        </is>
      </c>
      <c r="C387" s="4" t="inlineStr">
        <is>
          <t>Belo Horizonte</t>
        </is>
      </c>
      <c r="D387" s="16" t="n">
        <v>24107</v>
      </c>
      <c r="E387" s="8" t="n">
        <v>625.631</v>
      </c>
      <c r="F387" s="7" t="n">
        <v>-19.279771</v>
      </c>
      <c r="G387" s="7" t="n">
        <v>-44.33620802</v>
      </c>
      <c r="H387" s="8" t="n">
        <v>100.4553</v>
      </c>
      <c r="I387" s="6" t="inlineStr">
        <is>
          <t>MÉDIO</t>
        </is>
      </c>
      <c r="J387" s="6" t="inlineStr">
        <is>
          <t>swine</t>
        </is>
      </c>
      <c r="K387" s="6" t="n">
        <v>10</v>
      </c>
    </row>
    <row r="388">
      <c r="A388" s="6" t="inlineStr">
        <is>
          <t>3152303</t>
        </is>
      </c>
      <c r="B388" s="6" t="inlineStr">
        <is>
          <t>3152303</t>
        </is>
      </c>
      <c r="C388" s="4" t="inlineStr">
        <is>
          <t>Juíz de Fora</t>
        </is>
      </c>
      <c r="D388" s="16" t="n">
        <v>10569</v>
      </c>
      <c r="E388" s="8" t="n">
        <v>284.777</v>
      </c>
      <c r="F388" s="7" t="n">
        <v>-20.666295</v>
      </c>
      <c r="G388" s="7" t="n">
        <v>-43.07316891</v>
      </c>
      <c r="H388" s="8" t="n">
        <v>100.3526</v>
      </c>
      <c r="I388" s="6" t="inlineStr">
        <is>
          <t>MÉDIO</t>
        </is>
      </c>
      <c r="J388" s="6" t="inlineStr">
        <is>
          <t>swine</t>
        </is>
      </c>
      <c r="K388" s="6" t="n">
        <v>9</v>
      </c>
    </row>
    <row r="389">
      <c r="A389" s="6" t="inlineStr">
        <is>
          <t>3144508</t>
        </is>
      </c>
      <c r="B389" s="6" t="inlineStr">
        <is>
          <t>3144508</t>
        </is>
      </c>
      <c r="C389" s="4" t="inlineStr">
        <is>
          <t>Barbacena</t>
        </is>
      </c>
      <c r="D389" s="16" t="n">
        <v>8179</v>
      </c>
      <c r="E389" s="8" t="n">
        <v>341.453</v>
      </c>
      <c r="F389" s="7" t="n">
        <v>-21.212915</v>
      </c>
      <c r="G389" s="7" t="n">
        <v>-44.64857633</v>
      </c>
      <c r="H389" s="8" t="n">
        <v>100.1395</v>
      </c>
      <c r="I389" s="6" t="inlineStr">
        <is>
          <t>MÉDIO</t>
        </is>
      </c>
      <c r="J389" s="6" t="inlineStr">
        <is>
          <t>corn</t>
        </is>
      </c>
      <c r="K389" s="6" t="n">
        <v>10</v>
      </c>
    </row>
    <row r="390">
      <c r="A390" s="6" t="inlineStr">
        <is>
          <t>3150570</t>
        </is>
      </c>
      <c r="B390" s="6" t="inlineStr">
        <is>
          <t>3150570</t>
        </is>
      </c>
      <c r="C390" s="4" t="inlineStr">
        <is>
          <t>Montes Claros</t>
        </is>
      </c>
      <c r="D390" s="16" t="n">
        <v>7084</v>
      </c>
      <c r="E390" s="8" t="n">
        <v>1228.736</v>
      </c>
      <c r="F390" s="7" t="n">
        <v>-16.058358</v>
      </c>
      <c r="G390" s="7" t="n">
        <v>-45.22608802</v>
      </c>
      <c r="H390" s="8" t="n">
        <v>99.9684</v>
      </c>
      <c r="I390" s="6" t="inlineStr">
        <is>
          <t>BAIXO</t>
        </is>
      </c>
      <c r="J390" s="6" t="inlineStr">
        <is>
          <t>swine</t>
        </is>
      </c>
      <c r="K390" s="6" t="n">
        <v>8</v>
      </c>
    </row>
    <row r="391">
      <c r="A391" s="6" t="inlineStr">
        <is>
          <t>3157807</t>
        </is>
      </c>
      <c r="B391" s="6" t="inlineStr">
        <is>
          <t>3157807</t>
        </is>
      </c>
      <c r="C391" s="4" t="inlineStr">
        <is>
          <t>Belo Horizonte</t>
        </is>
      </c>
      <c r="D391" s="16" t="n">
        <v>219132</v>
      </c>
      <c r="E391" s="8" t="n">
        <v>235.166</v>
      </c>
      <c r="F391" s="7" t="n">
        <v>-19.72662315</v>
      </c>
      <c r="G391" s="7" t="n">
        <v>-43.83520402</v>
      </c>
      <c r="H391" s="8" t="n">
        <v>99.925</v>
      </c>
      <c r="I391" s="6" t="inlineStr">
        <is>
          <t>BAIXO</t>
        </is>
      </c>
      <c r="J391" s="6" t="inlineStr">
        <is>
          <t>rsu_organic</t>
        </is>
      </c>
      <c r="K391" s="6" t="n">
        <v>8</v>
      </c>
    </row>
    <row r="392">
      <c r="A392" s="6" t="inlineStr">
        <is>
          <t>3159308</t>
        </is>
      </c>
      <c r="B392" s="6" t="inlineStr">
        <is>
          <t>3159308</t>
        </is>
      </c>
      <c r="C392" s="4" t="inlineStr">
        <is>
          <t>Juíz de Fora</t>
        </is>
      </c>
      <c r="D392" s="16" t="n">
        <v>4755</v>
      </c>
      <c r="E392" s="8" t="n">
        <v>420.94</v>
      </c>
      <c r="F392" s="7" t="n">
        <v>-22.112826</v>
      </c>
      <c r="G392" s="7" t="n">
        <v>-44.09449871</v>
      </c>
      <c r="H392" s="8" t="n">
        <v>99.70269999999999</v>
      </c>
      <c r="I392" s="6" t="inlineStr">
        <is>
          <t>BAIXO</t>
        </is>
      </c>
      <c r="J392" s="6" t="inlineStr">
        <is>
          <t>swine</t>
        </is>
      </c>
      <c r="K392" s="6" t="n">
        <v>7</v>
      </c>
    </row>
    <row r="393">
      <c r="A393" s="6" t="inlineStr">
        <is>
          <t>3131307</t>
        </is>
      </c>
      <c r="B393" s="6" t="inlineStr">
        <is>
          <t>3131307</t>
        </is>
      </c>
      <c r="C393" s="4" t="inlineStr">
        <is>
          <t>Ipatinga</t>
        </is>
      </c>
      <c r="D393" s="16" t="n">
        <v>227731</v>
      </c>
      <c r="E393" s="8" t="n">
        <v>164.482</v>
      </c>
      <c r="F393" s="7" t="n">
        <v>-19.4449595</v>
      </c>
      <c r="G393" s="7" t="n">
        <v>-42.59939438</v>
      </c>
      <c r="H393" s="8" t="n">
        <v>99.08499999999999</v>
      </c>
      <c r="I393" s="6" t="inlineStr">
        <is>
          <t>BAIXO</t>
        </is>
      </c>
      <c r="J393" s="6" t="inlineStr">
        <is>
          <t>rsu_organic</t>
        </is>
      </c>
      <c r="K393" s="6" t="n">
        <v>9</v>
      </c>
    </row>
    <row r="394">
      <c r="A394" s="6" t="inlineStr">
        <is>
          <t>3136579</t>
        </is>
      </c>
      <c r="B394" s="6" t="inlineStr">
        <is>
          <t>3136579</t>
        </is>
      </c>
      <c r="C394" s="4" t="inlineStr">
        <is>
          <t>Montes Claros</t>
        </is>
      </c>
      <c r="D394" s="16" t="n">
        <v>3630</v>
      </c>
      <c r="E394" s="8" t="n">
        <v>541.393</v>
      </c>
      <c r="F394" s="7" t="n">
        <v>-16.520684</v>
      </c>
      <c r="G394" s="7" t="n">
        <v>-42.56904786</v>
      </c>
      <c r="H394" s="8" t="n">
        <v>98.89790000000001</v>
      </c>
      <c r="I394" s="6" t="inlineStr">
        <is>
          <t>BAIXO</t>
        </is>
      </c>
      <c r="J394" s="6" t="inlineStr">
        <is>
          <t>forestry</t>
        </is>
      </c>
      <c r="K394" s="6" t="n">
        <v>10</v>
      </c>
    </row>
    <row r="395">
      <c r="A395" s="6" t="inlineStr">
        <is>
          <t>3154200</t>
        </is>
      </c>
      <c r="B395" s="6" t="inlineStr">
        <is>
          <t>3154200</t>
        </is>
      </c>
      <c r="C395" s="4" t="inlineStr">
        <is>
          <t>Barbacena</t>
        </is>
      </c>
      <c r="D395" s="16" t="n">
        <v>11230</v>
      </c>
      <c r="E395" s="8" t="n">
        <v>618.312</v>
      </c>
      <c r="F395" s="7" t="n">
        <v>-20.8638955</v>
      </c>
      <c r="G395" s="7" t="n">
        <v>-44.28825295</v>
      </c>
      <c r="H395" s="8" t="n">
        <v>98.8073</v>
      </c>
      <c r="I395" s="6" t="inlineStr">
        <is>
          <t>BAIXO</t>
        </is>
      </c>
      <c r="J395" s="6" t="inlineStr">
        <is>
          <t>swine</t>
        </is>
      </c>
      <c r="K395" s="6" t="n">
        <v>9</v>
      </c>
    </row>
    <row r="396">
      <c r="A396" s="6" t="inlineStr">
        <is>
          <t>3161908</t>
        </is>
      </c>
      <c r="B396" s="6" t="inlineStr">
        <is>
          <t>3161908</t>
        </is>
      </c>
      <c r="C396" s="4" t="inlineStr">
        <is>
          <t>Ipatinga</t>
        </is>
      </c>
      <c r="D396" s="16" t="n">
        <v>11850</v>
      </c>
      <c r="E396" s="8" t="n">
        <v>363.818</v>
      </c>
      <c r="F396" s="7" t="n">
        <v>-19.7974815</v>
      </c>
      <c r="G396" s="7" t="n">
        <v>-43.30494514</v>
      </c>
      <c r="H396" s="8" t="n">
        <v>98.40130000000001</v>
      </c>
      <c r="I396" s="6" t="inlineStr">
        <is>
          <t>BAIXO</t>
        </is>
      </c>
      <c r="J396" s="6" t="inlineStr">
        <is>
          <t>forestry</t>
        </is>
      </c>
      <c r="K396" s="6" t="n">
        <v>10</v>
      </c>
    </row>
    <row r="397">
      <c r="A397" s="6" t="inlineStr">
        <is>
          <t>3162252</t>
        </is>
      </c>
      <c r="B397" s="6" t="inlineStr">
        <is>
          <t>3162252</t>
        </is>
      </c>
      <c r="C397" s="4" t="inlineStr">
        <is>
          <t>Montes Claros</t>
        </is>
      </c>
      <c r="D397" s="16" t="n">
        <v>4822</v>
      </c>
      <c r="E397" s="8" t="n">
        <v>998.015</v>
      </c>
      <c r="F397" s="7" t="n">
        <v>-16.8515375</v>
      </c>
      <c r="G397" s="7" t="n">
        <v>-44.37661361</v>
      </c>
      <c r="H397" s="8" t="n">
        <v>98.02419999999999</v>
      </c>
      <c r="I397" s="6" t="inlineStr">
        <is>
          <t>BAIXO</t>
        </is>
      </c>
      <c r="J397" s="6" t="inlineStr">
        <is>
          <t>swine</t>
        </is>
      </c>
      <c r="K397" s="6" t="n">
        <v>9</v>
      </c>
    </row>
    <row r="398">
      <c r="A398" s="6" t="inlineStr">
        <is>
          <t>3120607</t>
        </is>
      </c>
      <c r="B398" s="6" t="inlineStr">
        <is>
          <t>3120607</t>
        </is>
      </c>
      <c r="C398" s="4" t="inlineStr">
        <is>
          <t>Divinópolis</t>
        </is>
      </c>
      <c r="D398" s="16" t="n">
        <v>5434</v>
      </c>
      <c r="E398" s="8" t="n">
        <v>167.164</v>
      </c>
      <c r="F398" s="7" t="n">
        <v>-20.409514</v>
      </c>
      <c r="G398" s="7" t="n">
        <v>-44.35737942</v>
      </c>
      <c r="H398" s="8" t="n">
        <v>97.9316</v>
      </c>
      <c r="I398" s="6" t="inlineStr">
        <is>
          <t>BAIXO</t>
        </is>
      </c>
      <c r="J398" s="6" t="inlineStr">
        <is>
          <t>swine</t>
        </is>
      </c>
      <c r="K398" s="6" t="n">
        <v>8</v>
      </c>
    </row>
    <row r="399">
      <c r="A399" s="6" t="inlineStr">
        <is>
          <t>3156502</t>
        </is>
      </c>
      <c r="B399" s="6" t="inlineStr">
        <is>
          <t>3156502</t>
        </is>
      </c>
      <c r="C399" s="4" t="inlineStr">
        <is>
          <t>Montes Claros</t>
        </is>
      </c>
      <c r="D399" s="16" t="n">
        <v>5679</v>
      </c>
      <c r="E399" s="8" t="n">
        <v>1110.295</v>
      </c>
      <c r="F399" s="7" t="n">
        <v>-16.361954</v>
      </c>
      <c r="G399" s="7" t="n">
        <v>-42.18900532</v>
      </c>
      <c r="H399" s="8" t="n">
        <v>97.72280000000001</v>
      </c>
      <c r="I399" s="6" t="inlineStr">
        <is>
          <t>BAIXO</t>
        </is>
      </c>
      <c r="J399" s="6" t="inlineStr">
        <is>
          <t>swine</t>
        </is>
      </c>
      <c r="K399" s="6" t="n">
        <v>9</v>
      </c>
    </row>
    <row r="400">
      <c r="A400" s="6" t="inlineStr">
        <is>
          <t>3122207</t>
        </is>
      </c>
      <c r="B400" s="6" t="inlineStr">
        <is>
          <t>3122207</t>
        </is>
      </c>
      <c r="C400" s="4" t="inlineStr">
        <is>
          <t>Governador Valadares</t>
        </is>
      </c>
      <c r="D400" s="16" t="n">
        <v>6516</v>
      </c>
      <c r="E400" s="8" t="n">
        <v>133.12</v>
      </c>
      <c r="F400" s="7" t="n">
        <v>-18.800493</v>
      </c>
      <c r="G400" s="7" t="n">
        <v>-42.60785775</v>
      </c>
      <c r="H400" s="8" t="n">
        <v>96.4675</v>
      </c>
      <c r="I400" s="6" t="inlineStr">
        <is>
          <t>BAIXO</t>
        </is>
      </c>
      <c r="J400" s="6" t="inlineStr">
        <is>
          <t>forestry</t>
        </is>
      </c>
      <c r="K400" s="6" t="n">
        <v>9</v>
      </c>
    </row>
    <row r="401">
      <c r="A401" s="6" t="inlineStr">
        <is>
          <t>3166907</t>
        </is>
      </c>
      <c r="B401" s="6" t="inlineStr">
        <is>
          <t>3166907</t>
        </is>
      </c>
      <c r="C401" s="4" t="inlineStr">
        <is>
          <t>Varginha</t>
        </is>
      </c>
      <c r="D401" s="16" t="n">
        <v>7621</v>
      </c>
      <c r="E401" s="8" t="n">
        <v>209.27</v>
      </c>
      <c r="F401" s="7" t="n">
        <v>-21.570966</v>
      </c>
      <c r="G401" s="7" t="n">
        <v>-46.11512771</v>
      </c>
      <c r="H401" s="8" t="n">
        <v>96.075</v>
      </c>
      <c r="I401" s="6" t="inlineStr">
        <is>
          <t>BAIXO</t>
        </is>
      </c>
      <c r="J401" s="6" t="inlineStr">
        <is>
          <t>sugarcane</t>
        </is>
      </c>
      <c r="K401" s="6" t="n">
        <v>11</v>
      </c>
    </row>
    <row r="402">
      <c r="A402" s="6" t="inlineStr">
        <is>
          <t>3108404</t>
        </is>
      </c>
      <c r="B402" s="6" t="inlineStr">
        <is>
          <t>3108404</t>
        </is>
      </c>
      <c r="C402" s="4" t="inlineStr">
        <is>
          <t>Pouso Alegre</t>
        </is>
      </c>
      <c r="D402" s="16" t="n">
        <v>14828</v>
      </c>
      <c r="E402" s="8" t="n">
        <v>334.089</v>
      </c>
      <c r="F402" s="7" t="n">
        <v>-21.649983</v>
      </c>
      <c r="G402" s="7" t="n">
        <v>-46.41958458</v>
      </c>
      <c r="H402" s="8" t="n">
        <v>95.62949999999999</v>
      </c>
      <c r="I402" s="6" t="inlineStr">
        <is>
          <t>BAIXO</t>
        </is>
      </c>
      <c r="J402" s="6" t="inlineStr">
        <is>
          <t>swine</t>
        </is>
      </c>
      <c r="K402" s="6" t="n">
        <v>10</v>
      </c>
    </row>
    <row r="403">
      <c r="A403" s="6" t="inlineStr">
        <is>
          <t>3132909</t>
        </is>
      </c>
      <c r="B403" s="6" t="inlineStr">
        <is>
          <t>3132909</t>
        </is>
      </c>
      <c r="C403" s="4" t="inlineStr">
        <is>
          <t>Varginha</t>
        </is>
      </c>
      <c r="D403" s="16" t="n">
        <v>10770</v>
      </c>
      <c r="E403" s="8" t="n">
        <v>243.714</v>
      </c>
      <c r="F403" s="7" t="n">
        <v>-21.07599</v>
      </c>
      <c r="G403" s="7" t="n">
        <v>-47.04727462</v>
      </c>
      <c r="H403" s="8" t="n">
        <v>94.38849999999999</v>
      </c>
      <c r="I403" s="6" t="inlineStr">
        <is>
          <t>BAIXO</t>
        </is>
      </c>
      <c r="J403" s="6" t="inlineStr">
        <is>
          <t>coffee</t>
        </is>
      </c>
      <c r="K403" s="6" t="n">
        <v>10</v>
      </c>
    </row>
    <row r="404">
      <c r="A404" s="6" t="inlineStr">
        <is>
          <t>3165008</t>
        </is>
      </c>
      <c r="B404" s="6" t="inlineStr">
        <is>
          <t>3165008</t>
        </is>
      </c>
      <c r="C404" s="4" t="inlineStr">
        <is>
          <t>Barbacena</t>
        </is>
      </c>
      <c r="D404" s="16" t="n">
        <v>11192</v>
      </c>
      <c r="E404" s="8" t="n">
        <v>572.4</v>
      </c>
      <c r="F404" s="7" t="n">
        <v>-20.9445335</v>
      </c>
      <c r="G404" s="7" t="n">
        <v>-44.56416125</v>
      </c>
      <c r="H404" s="8" t="n">
        <v>94.2731</v>
      </c>
      <c r="I404" s="6" t="inlineStr">
        <is>
          <t>BAIXO</t>
        </is>
      </c>
      <c r="J404" s="6" t="inlineStr">
        <is>
          <t>swine</t>
        </is>
      </c>
      <c r="K404" s="6" t="n">
        <v>9</v>
      </c>
    </row>
    <row r="405">
      <c r="A405" s="6" t="inlineStr">
        <is>
          <t>3149903</t>
        </is>
      </c>
      <c r="B405" s="6" t="inlineStr">
        <is>
          <t>3149903</t>
        </is>
      </c>
      <c r="C405" s="4" t="inlineStr">
        <is>
          <t>Varginha</t>
        </is>
      </c>
      <c r="D405" s="16" t="n">
        <v>21384</v>
      </c>
      <c r="E405" s="8" t="n">
        <v>270.657</v>
      </c>
      <c r="F405" s="7" t="n">
        <v>-21.06379</v>
      </c>
      <c r="G405" s="7" t="n">
        <v>-45.05560275</v>
      </c>
      <c r="H405" s="8" t="n">
        <v>93.7192</v>
      </c>
      <c r="I405" s="6" t="inlineStr">
        <is>
          <t>BAIXO</t>
        </is>
      </c>
      <c r="J405" s="6" t="inlineStr">
        <is>
          <t>swine</t>
        </is>
      </c>
      <c r="K405" s="6" t="n">
        <v>12</v>
      </c>
    </row>
    <row r="406">
      <c r="A406" s="6" t="inlineStr">
        <is>
          <t>3141603</t>
        </is>
      </c>
      <c r="B406" s="6" t="inlineStr">
        <is>
          <t>3141603</t>
        </is>
      </c>
      <c r="C406" s="4" t="inlineStr">
        <is>
          <t>Juíz de Fora</t>
        </is>
      </c>
      <c r="D406" s="16" t="n">
        <v>10373</v>
      </c>
      <c r="E406" s="8" t="n">
        <v>348.271</v>
      </c>
      <c r="F406" s="7" t="n">
        <v>-21.1771915</v>
      </c>
      <c r="G406" s="7" t="n">
        <v>-43.36034685</v>
      </c>
      <c r="H406" s="8" t="n">
        <v>93.4794</v>
      </c>
      <c r="I406" s="6" t="inlineStr">
        <is>
          <t>BAIXO</t>
        </is>
      </c>
      <c r="J406" s="6" t="inlineStr">
        <is>
          <t>swine</t>
        </is>
      </c>
      <c r="K406" s="6" t="n">
        <v>9</v>
      </c>
    </row>
    <row r="407">
      <c r="A407" s="6" t="inlineStr">
        <is>
          <t>3148301</t>
        </is>
      </c>
      <c r="B407" s="6" t="inlineStr">
        <is>
          <t>3148301</t>
        </is>
      </c>
      <c r="C407" s="4" t="inlineStr">
        <is>
          <t>Juíz de Fora</t>
        </is>
      </c>
      <c r="D407" s="16" t="n">
        <v>8659</v>
      </c>
      <c r="E407" s="8" t="n">
        <v>268.321</v>
      </c>
      <c r="F407" s="7" t="n">
        <v>-20.870511</v>
      </c>
      <c r="G407" s="7" t="n">
        <v>-42.99006463</v>
      </c>
      <c r="H407" s="8" t="n">
        <v>93.4246</v>
      </c>
      <c r="I407" s="6" t="inlineStr">
        <is>
          <t>BAIXO</t>
        </is>
      </c>
      <c r="J407" s="6" t="inlineStr">
        <is>
          <t>swine</t>
        </is>
      </c>
      <c r="K407" s="6" t="n">
        <v>9</v>
      </c>
    </row>
    <row r="408">
      <c r="A408" s="6" t="inlineStr">
        <is>
          <t>3106101</t>
        </is>
      </c>
      <c r="B408" s="6" t="inlineStr">
        <is>
          <t>3106101</t>
        </is>
      </c>
      <c r="C408" s="4" t="inlineStr">
        <is>
          <t>Juíz de Fora</t>
        </is>
      </c>
      <c r="D408" s="16" t="n">
        <v>3244</v>
      </c>
      <c r="E408" s="8" t="n">
        <v>393.086</v>
      </c>
      <c r="F408" s="7" t="n">
        <v>-21.971414</v>
      </c>
      <c r="G408" s="7" t="n">
        <v>-43.45309564</v>
      </c>
      <c r="H408" s="8" t="n">
        <v>93.4081</v>
      </c>
      <c r="I408" s="6" t="inlineStr">
        <is>
          <t>BAIXO</t>
        </is>
      </c>
      <c r="J408" s="6" t="inlineStr">
        <is>
          <t>swine</t>
        </is>
      </c>
      <c r="K408" s="6" t="n">
        <v>9</v>
      </c>
    </row>
    <row r="409">
      <c r="A409" s="6" t="inlineStr">
        <is>
          <t>3140902</t>
        </is>
      </c>
      <c r="B409" s="6" t="inlineStr">
        <is>
          <t>3140902</t>
        </is>
      </c>
      <c r="C409" s="4" t="inlineStr">
        <is>
          <t>Juíz de Fora</t>
        </is>
      </c>
      <c r="D409" s="16" t="n">
        <v>18552</v>
      </c>
      <c r="E409" s="8" t="n">
        <v>266.99</v>
      </c>
      <c r="F409" s="7" t="n">
        <v>-20.3033865</v>
      </c>
      <c r="G409" s="7" t="n">
        <v>-42.30081103</v>
      </c>
      <c r="H409" s="8" t="n">
        <v>93.30370000000001</v>
      </c>
      <c r="I409" s="6" t="inlineStr">
        <is>
          <t>BAIXO</t>
        </is>
      </c>
      <c r="J409" s="6" t="inlineStr">
        <is>
          <t>swine</t>
        </is>
      </c>
      <c r="K409" s="6" t="n">
        <v>9</v>
      </c>
    </row>
    <row r="410">
      <c r="A410" s="6" t="inlineStr">
        <is>
          <t>3133758</t>
        </is>
      </c>
      <c r="B410" s="6" t="inlineStr">
        <is>
          <t>3133758</t>
        </is>
      </c>
      <c r="C410" s="4" t="inlineStr">
        <is>
          <t>Varginha</t>
        </is>
      </c>
      <c r="D410" s="16" t="n">
        <v>14406</v>
      </c>
      <c r="E410" s="8" t="n">
        <v>153.421</v>
      </c>
      <c r="F410" s="7" t="n">
        <v>-20.7347575</v>
      </c>
      <c r="G410" s="7" t="n">
        <v>-46.76903141</v>
      </c>
      <c r="H410" s="8" t="n">
        <v>93.258</v>
      </c>
      <c r="I410" s="6" t="inlineStr">
        <is>
          <t>BAIXO</t>
        </is>
      </c>
      <c r="J410" s="6" t="inlineStr">
        <is>
          <t>forestry</t>
        </is>
      </c>
      <c r="K410" s="6" t="n">
        <v>10</v>
      </c>
    </row>
    <row r="411">
      <c r="A411" s="6" t="inlineStr">
        <is>
          <t>3128303</t>
        </is>
      </c>
      <c r="B411" s="6" t="inlineStr">
        <is>
          <t>3128303</t>
        </is>
      </c>
      <c r="C411" s="4" t="inlineStr">
        <is>
          <t>Varginha</t>
        </is>
      </c>
      <c r="D411" s="16" t="n">
        <v>19150</v>
      </c>
      <c r="E411" s="8" t="n">
        <v>294.828</v>
      </c>
      <c r="F411" s="7" t="n">
        <v>-21.2792</v>
      </c>
      <c r="G411" s="7" t="n">
        <v>-46.8056239</v>
      </c>
      <c r="H411" s="8" t="n">
        <v>92.7741</v>
      </c>
      <c r="I411" s="6" t="inlineStr">
        <is>
          <t>BAIXO</t>
        </is>
      </c>
      <c r="J411" s="6" t="inlineStr">
        <is>
          <t>swine</t>
        </is>
      </c>
      <c r="K411" s="6" t="n">
        <v>12</v>
      </c>
    </row>
    <row r="412">
      <c r="A412" s="6" t="inlineStr">
        <is>
          <t>3119005</t>
        </is>
      </c>
      <c r="B412" s="6" t="inlineStr">
        <is>
          <t>3119005</t>
        </is>
      </c>
      <c r="C412" s="4" t="inlineStr">
        <is>
          <t>Varginha</t>
        </is>
      </c>
      <c r="D412" s="16" t="n">
        <v>3200</v>
      </c>
      <c r="E412" s="8" t="n">
        <v>179.543</v>
      </c>
      <c r="F412" s="7" t="n">
        <v>-21.7700235</v>
      </c>
      <c r="G412" s="7" t="n">
        <v>-45.63219333</v>
      </c>
      <c r="H412" s="8" t="n">
        <v>92.7577</v>
      </c>
      <c r="I412" s="6" t="inlineStr">
        <is>
          <t>BAIXO</t>
        </is>
      </c>
      <c r="J412" s="6" t="inlineStr">
        <is>
          <t>soybean</t>
        </is>
      </c>
      <c r="K412" s="6" t="n">
        <v>10</v>
      </c>
    </row>
    <row r="413">
      <c r="A413" s="6" t="inlineStr">
        <is>
          <t>3134905</t>
        </is>
      </c>
      <c r="B413" s="6" t="inlineStr">
        <is>
          <t>3134905</t>
        </is>
      </c>
      <c r="C413" s="4" t="inlineStr">
        <is>
          <t>Pouso Alegre</t>
        </is>
      </c>
      <c r="D413" s="16" t="n">
        <v>25525</v>
      </c>
      <c r="E413" s="8" t="n">
        <v>347.667</v>
      </c>
      <c r="F413" s="7" t="n">
        <v>-22.2851355</v>
      </c>
      <c r="G413" s="7" t="n">
        <v>-46.61849407</v>
      </c>
      <c r="H413" s="8" t="n">
        <v>92.1069</v>
      </c>
      <c r="I413" s="6" t="inlineStr">
        <is>
          <t>BAIXO</t>
        </is>
      </c>
      <c r="J413" s="6" t="inlineStr">
        <is>
          <t>swine</t>
        </is>
      </c>
      <c r="K413" s="6" t="n">
        <v>11</v>
      </c>
    </row>
    <row r="414">
      <c r="A414" s="6" t="inlineStr">
        <is>
          <t>3151206</t>
        </is>
      </c>
      <c r="B414" s="6" t="inlineStr">
        <is>
          <t>3151206</t>
        </is>
      </c>
      <c r="C414" s="4" t="inlineStr">
        <is>
          <t>Montes Claros</t>
        </is>
      </c>
      <c r="D414" s="16" t="n">
        <v>55606</v>
      </c>
      <c r="E414" s="8" t="n">
        <v>549.514</v>
      </c>
      <c r="F414" s="7" t="n">
        <v>-17.379377</v>
      </c>
      <c r="G414" s="7" t="n">
        <v>-44.86199568</v>
      </c>
      <c r="H414" s="8" t="n">
        <v>91.8436</v>
      </c>
      <c r="I414" s="6" t="inlineStr">
        <is>
          <t>BAIXO</t>
        </is>
      </c>
      <c r="J414" s="6" t="inlineStr">
        <is>
          <t>swine</t>
        </is>
      </c>
      <c r="K414" s="6" t="n">
        <v>11</v>
      </c>
    </row>
    <row r="415">
      <c r="A415" s="6" t="inlineStr">
        <is>
          <t>3170602</t>
        </is>
      </c>
      <c r="B415" s="6" t="inlineStr">
        <is>
          <t>3170602</t>
        </is>
      </c>
      <c r="C415" s="4" t="inlineStr">
        <is>
          <t>Varginha</t>
        </is>
      </c>
      <c r="D415" s="16" t="n">
        <v>2158</v>
      </c>
      <c r="E415" s="8" t="n">
        <v>409.888</v>
      </c>
      <c r="F415" s="7" t="n">
        <v>-20.4395525</v>
      </c>
      <c r="G415" s="7" t="n">
        <v>-46.35986156</v>
      </c>
      <c r="H415" s="8" t="n">
        <v>91.6446</v>
      </c>
      <c r="I415" s="6" t="inlineStr">
        <is>
          <t>BAIXO</t>
        </is>
      </c>
      <c r="J415" s="6" t="inlineStr">
        <is>
          <t>swine</t>
        </is>
      </c>
      <c r="K415" s="6" t="n">
        <v>10</v>
      </c>
    </row>
    <row r="416">
      <c r="A416" s="6" t="inlineStr">
        <is>
          <t>3154309</t>
        </is>
      </c>
      <c r="B416" s="6" t="inlineStr">
        <is>
          <t>3154309</t>
        </is>
      </c>
      <c r="C416" s="4" t="inlineStr">
        <is>
          <t>Governador Valadares</t>
        </is>
      </c>
      <c r="D416" s="16" t="n">
        <v>17226</v>
      </c>
      <c r="E416" s="8" t="n">
        <v>1081.796</v>
      </c>
      <c r="F416" s="7" t="n">
        <v>-19.2183735</v>
      </c>
      <c r="G416" s="7" t="n">
        <v>-41.15281375</v>
      </c>
      <c r="H416" s="8" t="n">
        <v>90.6318</v>
      </c>
      <c r="I416" s="6" t="inlineStr">
        <is>
          <t>BAIXO</t>
        </is>
      </c>
      <c r="J416" s="6" t="inlineStr">
        <is>
          <t>swine</t>
        </is>
      </c>
      <c r="K416" s="6" t="n">
        <v>9</v>
      </c>
    </row>
    <row r="417">
      <c r="A417" s="6" t="inlineStr">
        <is>
          <t>3152709</t>
        </is>
      </c>
      <c r="B417" s="6" t="inlineStr">
        <is>
          <t>3152709</t>
        </is>
      </c>
      <c r="C417" s="4" t="inlineStr">
        <is>
          <t>Barbacena</t>
        </is>
      </c>
      <c r="D417" s="16" t="n">
        <v>9048</v>
      </c>
      <c r="E417" s="8" t="n">
        <v>264.115</v>
      </c>
      <c r="F417" s="7" t="n">
        <v>-21.116424</v>
      </c>
      <c r="G417" s="7" t="n">
        <v>-44.07746351</v>
      </c>
      <c r="H417" s="8" t="n">
        <v>89.7624</v>
      </c>
      <c r="I417" s="6" t="inlineStr">
        <is>
          <t>BAIXO</t>
        </is>
      </c>
      <c r="J417" s="6" t="inlineStr">
        <is>
          <t>corn</t>
        </is>
      </c>
      <c r="K417" s="6" t="n">
        <v>9</v>
      </c>
    </row>
    <row r="418">
      <c r="A418" s="6" t="inlineStr">
        <is>
          <t>3108800</t>
        </is>
      </c>
      <c r="B418" s="6" t="inlineStr">
        <is>
          <t>3108800</t>
        </is>
      </c>
      <c r="C418" s="4" t="inlineStr">
        <is>
          <t>Ipatinga</t>
        </is>
      </c>
      <c r="D418" s="16" t="n">
        <v>4441</v>
      </c>
      <c r="E418" s="8" t="n">
        <v>378.318</v>
      </c>
      <c r="F418" s="7" t="n">
        <v>-19.031741</v>
      </c>
      <c r="G418" s="7" t="n">
        <v>-42.68808913</v>
      </c>
      <c r="H418" s="8" t="n">
        <v>88.97629999999999</v>
      </c>
      <c r="I418" s="6" t="inlineStr">
        <is>
          <t>BAIXO</t>
        </is>
      </c>
      <c r="J418" s="6" t="inlineStr">
        <is>
          <t>forestry</t>
        </is>
      </c>
      <c r="K418" s="6" t="n">
        <v>9</v>
      </c>
    </row>
    <row r="419">
      <c r="A419" s="6" t="inlineStr">
        <is>
          <t>3112901</t>
        </is>
      </c>
      <c r="B419" s="6" t="inlineStr">
        <is>
          <t>3112901</t>
        </is>
      </c>
      <c r="C419" s="4" t="inlineStr">
        <is>
          <t>Juíz de Fora</t>
        </is>
      </c>
      <c r="D419" s="16" t="n">
        <v>8936</v>
      </c>
      <c r="E419" s="8" t="n">
        <v>187.704</v>
      </c>
      <c r="F419" s="7" t="n">
        <v>-20.183459</v>
      </c>
      <c r="G419" s="7" t="n">
        <v>-42.2619021</v>
      </c>
      <c r="H419" s="8" t="n">
        <v>88.1314</v>
      </c>
      <c r="I419" s="6" t="inlineStr">
        <is>
          <t>BAIXO</t>
        </is>
      </c>
      <c r="J419" s="6" t="inlineStr">
        <is>
          <t>swine</t>
        </is>
      </c>
      <c r="K419" s="6" t="n">
        <v>9</v>
      </c>
    </row>
    <row r="420">
      <c r="A420" s="6" t="inlineStr">
        <is>
          <t>3118908</t>
        </is>
      </c>
      <c r="B420" s="6" t="inlineStr">
        <is>
          <t>3118908</t>
        </is>
      </c>
      <c r="C420" s="4" t="inlineStr">
        <is>
          <t>Belo Horizonte</t>
        </is>
      </c>
      <c r="D420" s="16" t="n">
        <v>7547</v>
      </c>
      <c r="E420" s="8" t="n">
        <v>823.654</v>
      </c>
      <c r="F420" s="7" t="n">
        <v>-19.094295</v>
      </c>
      <c r="G420" s="7" t="n">
        <v>-44.21088411</v>
      </c>
      <c r="H420" s="8" t="n">
        <v>87.23650000000001</v>
      </c>
      <c r="I420" s="6" t="inlineStr">
        <is>
          <t>BAIXO</t>
        </is>
      </c>
      <c r="J420" s="6" t="inlineStr">
        <is>
          <t>swine</t>
        </is>
      </c>
      <c r="K420" s="6" t="n">
        <v>10</v>
      </c>
    </row>
    <row r="421">
      <c r="A421" s="6" t="inlineStr">
        <is>
          <t>3172004</t>
        </is>
      </c>
      <c r="B421" s="6" t="inlineStr">
        <is>
          <t>3172004</t>
        </is>
      </c>
      <c r="C421" s="4" t="inlineStr">
        <is>
          <t>Juíz de Fora</t>
        </is>
      </c>
      <c r="D421" s="16" t="n">
        <v>39160</v>
      </c>
      <c r="E421" s="8" t="n">
        <v>243.351</v>
      </c>
      <c r="F421" s="7" t="n">
        <v>-21.0227125</v>
      </c>
      <c r="G421" s="7" t="n">
        <v>-42.83714398</v>
      </c>
      <c r="H421" s="8" t="n">
        <v>86.7092</v>
      </c>
      <c r="I421" s="6" t="inlineStr">
        <is>
          <t>BAIXO</t>
        </is>
      </c>
      <c r="J421" s="6" t="inlineStr">
        <is>
          <t>swine</t>
        </is>
      </c>
      <c r="K421" s="6" t="n">
        <v>10</v>
      </c>
    </row>
    <row r="422">
      <c r="A422" s="6" t="inlineStr">
        <is>
          <t>3142007</t>
        </is>
      </c>
      <c r="B422" s="6" t="inlineStr">
        <is>
          <t>3142007</t>
        </is>
      </c>
      <c r="C422" s="4" t="inlineStr">
        <is>
          <t>Montes Claros</t>
        </is>
      </c>
      <c r="D422" s="16" t="n">
        <v>13651</v>
      </c>
      <c r="E422" s="8" t="n">
        <v>723.278</v>
      </c>
      <c r="F422" s="7" t="n">
        <v>-16.258303</v>
      </c>
      <c r="G422" s="7" t="n">
        <v>-44.13075666</v>
      </c>
      <c r="H422" s="8" t="n">
        <v>86.4059</v>
      </c>
      <c r="I422" s="6" t="inlineStr">
        <is>
          <t>BAIXO</t>
        </is>
      </c>
      <c r="J422" s="6" t="inlineStr">
        <is>
          <t>swine</t>
        </is>
      </c>
      <c r="K422" s="6" t="n">
        <v>8</v>
      </c>
    </row>
    <row r="423">
      <c r="A423" s="6" t="inlineStr">
        <is>
          <t>3137007</t>
        </is>
      </c>
      <c r="B423" s="6" t="inlineStr">
        <is>
          <t>3137007</t>
        </is>
      </c>
      <c r="C423" s="4" t="inlineStr">
        <is>
          <t>Teófilo Otoni</t>
        </is>
      </c>
      <c r="D423" s="16" t="n">
        <v>14383</v>
      </c>
      <c r="E423" s="8" t="n">
        <v>866.29</v>
      </c>
      <c r="F423" s="7" t="n">
        <v>-17.6065875</v>
      </c>
      <c r="G423" s="7" t="n">
        <v>-41.80404254</v>
      </c>
      <c r="H423" s="8" t="n">
        <v>86.03619999999999</v>
      </c>
      <c r="I423" s="6" t="inlineStr">
        <is>
          <t>BAIXO</t>
        </is>
      </c>
      <c r="J423" s="6" t="inlineStr">
        <is>
          <t>swine</t>
        </is>
      </c>
      <c r="K423" s="6" t="n">
        <v>10</v>
      </c>
    </row>
    <row r="424">
      <c r="A424" s="6" t="inlineStr">
        <is>
          <t>3142908</t>
        </is>
      </c>
      <c r="B424" s="6" t="inlineStr">
        <is>
          <t>3142908</t>
        </is>
      </c>
      <c r="C424" s="4" t="inlineStr">
        <is>
          <t>Montes Claros</t>
        </is>
      </c>
      <c r="D424" s="16" t="n">
        <v>20328</v>
      </c>
      <c r="E424" s="8" t="n">
        <v>1001.296</v>
      </c>
      <c r="F424" s="7" t="n">
        <v>-15.2178545</v>
      </c>
      <c r="G424" s="7" t="n">
        <v>-43.03680169</v>
      </c>
      <c r="H424" s="8" t="n">
        <v>85.4028</v>
      </c>
      <c r="I424" s="6" t="inlineStr">
        <is>
          <t>BAIXO</t>
        </is>
      </c>
      <c r="J424" s="6" t="inlineStr">
        <is>
          <t>swine</t>
        </is>
      </c>
      <c r="K424" s="6" t="n">
        <v>9</v>
      </c>
    </row>
    <row r="425">
      <c r="A425" s="6" t="inlineStr">
        <is>
          <t>3124906</t>
        </is>
      </c>
      <c r="B425" s="6" t="inlineStr">
        <is>
          <t>3124906</t>
        </is>
      </c>
      <c r="C425" s="4" t="inlineStr">
        <is>
          <t>Juíz de Fora</t>
        </is>
      </c>
      <c r="D425" s="16" t="n">
        <v>10801</v>
      </c>
      <c r="E425" s="8" t="n">
        <v>309.395</v>
      </c>
      <c r="F425" s="7" t="n">
        <v>-20.9984405</v>
      </c>
      <c r="G425" s="7" t="n">
        <v>-42.24556196</v>
      </c>
      <c r="H425" s="8" t="n">
        <v>84.5445</v>
      </c>
      <c r="I425" s="6" t="inlineStr">
        <is>
          <t>BAIXO</t>
        </is>
      </c>
      <c r="J425" s="6" t="inlineStr">
        <is>
          <t>swine</t>
        </is>
      </c>
      <c r="K425" s="6" t="n">
        <v>9</v>
      </c>
    </row>
    <row r="426">
      <c r="A426" s="6" t="inlineStr">
        <is>
          <t>3128253</t>
        </is>
      </c>
      <c r="B426" s="6" t="inlineStr">
        <is>
          <t>3128253</t>
        </is>
      </c>
      <c r="C426" s="4" t="inlineStr">
        <is>
          <t>Montes Claros</t>
        </is>
      </c>
      <c r="D426" s="16" t="n">
        <v>5051</v>
      </c>
      <c r="E426" s="8" t="n">
        <v>390.263</v>
      </c>
      <c r="F426" s="7" t="n">
        <v>-17.0679395</v>
      </c>
      <c r="G426" s="7" t="n">
        <v>-43.63669469</v>
      </c>
      <c r="H426" s="8" t="n">
        <v>84.4301</v>
      </c>
      <c r="I426" s="6" t="inlineStr">
        <is>
          <t>BAIXO</t>
        </is>
      </c>
      <c r="J426" s="6" t="inlineStr">
        <is>
          <t>forestry</t>
        </is>
      </c>
      <c r="K426" s="6" t="n">
        <v>8</v>
      </c>
    </row>
    <row r="427">
      <c r="A427" s="6" t="inlineStr">
        <is>
          <t>3142205</t>
        </is>
      </c>
      <c r="B427" s="6" t="inlineStr">
        <is>
          <t>3142205</t>
        </is>
      </c>
      <c r="C427" s="4" t="inlineStr">
        <is>
          <t>Juíz de Fora</t>
        </is>
      </c>
      <c r="D427" s="16" t="n">
        <v>13633</v>
      </c>
      <c r="E427" s="8" t="n">
        <v>320.695</v>
      </c>
      <c r="F427" s="7" t="n">
        <v>-21.144009</v>
      </c>
      <c r="G427" s="7" t="n">
        <v>-42.63645712</v>
      </c>
      <c r="H427" s="8" t="n">
        <v>83.3317</v>
      </c>
      <c r="I427" s="6" t="inlineStr">
        <is>
          <t>BAIXO</t>
        </is>
      </c>
      <c r="J427" s="6" t="inlineStr">
        <is>
          <t>swine</t>
        </is>
      </c>
      <c r="K427" s="6" t="n">
        <v>10</v>
      </c>
    </row>
    <row r="428">
      <c r="A428" s="6" t="inlineStr">
        <is>
          <t>3110004</t>
        </is>
      </c>
      <c r="B428" s="6" t="inlineStr">
        <is>
          <t>3110004</t>
        </is>
      </c>
      <c r="C428" s="4" t="inlineStr">
        <is>
          <t>Belo Horizonte</t>
        </is>
      </c>
      <c r="D428" s="16" t="n">
        <v>38776</v>
      </c>
      <c r="E428" s="8" t="n">
        <v>542.5309999999999</v>
      </c>
      <c r="F428" s="7" t="n">
        <v>-19.8859165</v>
      </c>
      <c r="G428" s="7" t="n">
        <v>-43.6153886</v>
      </c>
      <c r="H428" s="8" t="n">
        <v>82.91079999999999</v>
      </c>
      <c r="I428" s="6" t="inlineStr">
        <is>
          <t>BAIXO</t>
        </is>
      </c>
      <c r="J428" s="6" t="inlineStr">
        <is>
          <t>swine</t>
        </is>
      </c>
      <c r="K428" s="6" t="n">
        <v>10</v>
      </c>
    </row>
    <row r="429">
      <c r="A429" s="6" t="inlineStr">
        <is>
          <t>3142106</t>
        </is>
      </c>
      <c r="B429" s="6" t="inlineStr">
        <is>
          <t>3142106</t>
        </is>
      </c>
      <c r="C429" s="4" t="inlineStr">
        <is>
          <t>Juíz de Fora</t>
        </is>
      </c>
      <c r="D429" s="16" t="n">
        <v>8968</v>
      </c>
      <c r="E429" s="8" t="n">
        <v>301.672</v>
      </c>
      <c r="F429" s="7" t="n">
        <v>-20.853294</v>
      </c>
      <c r="G429" s="7" t="n">
        <v>-42.4086495</v>
      </c>
      <c r="H429" s="8" t="n">
        <v>82.7997</v>
      </c>
      <c r="I429" s="6" t="inlineStr">
        <is>
          <t>BAIXO</t>
        </is>
      </c>
      <c r="J429" s="6" t="inlineStr">
        <is>
          <t>swine</t>
        </is>
      </c>
      <c r="K429" s="6" t="n">
        <v>9</v>
      </c>
    </row>
    <row r="430">
      <c r="A430" s="6" t="inlineStr">
        <is>
          <t>3143401</t>
        </is>
      </c>
      <c r="B430" s="6" t="inlineStr">
        <is>
          <t>3143401</t>
        </is>
      </c>
      <c r="C430" s="4" t="inlineStr">
        <is>
          <t>Pouso Alegre</t>
        </is>
      </c>
      <c r="D430" s="16" t="n">
        <v>24089</v>
      </c>
      <c r="E430" s="8" t="n">
        <v>291.594</v>
      </c>
      <c r="F430" s="7" t="n">
        <v>-22.42823</v>
      </c>
      <c r="G430" s="7" t="n">
        <v>-46.53429884</v>
      </c>
      <c r="H430" s="8" t="n">
        <v>82.7953</v>
      </c>
      <c r="I430" s="6" t="inlineStr">
        <is>
          <t>BAIXO</t>
        </is>
      </c>
      <c r="J430" s="6" t="inlineStr">
        <is>
          <t>swine</t>
        </is>
      </c>
      <c r="K430" s="6" t="n">
        <v>12</v>
      </c>
    </row>
    <row r="431">
      <c r="A431" s="6" t="inlineStr">
        <is>
          <t>3155900</t>
        </is>
      </c>
      <c r="B431" s="6" t="inlineStr">
        <is>
          <t>3155900</t>
        </is>
      </c>
      <c r="C431" s="4" t="inlineStr">
        <is>
          <t>Juíz de Fora</t>
        </is>
      </c>
      <c r="D431" s="16" t="n">
        <v>5141</v>
      </c>
      <c r="E431" s="8" t="n">
        <v>348.046</v>
      </c>
      <c r="F431" s="7" t="n">
        <v>-22.0499945</v>
      </c>
      <c r="G431" s="7" t="n">
        <v>-43.84874398</v>
      </c>
      <c r="H431" s="8" t="n">
        <v>82.7573</v>
      </c>
      <c r="I431" s="6" t="inlineStr">
        <is>
          <t>BAIXO</t>
        </is>
      </c>
      <c r="J431" s="6" t="inlineStr">
        <is>
          <t>swine</t>
        </is>
      </c>
      <c r="K431" s="6" t="n">
        <v>8</v>
      </c>
    </row>
    <row r="432">
      <c r="A432" s="6" t="inlineStr">
        <is>
          <t>3144805</t>
        </is>
      </c>
      <c r="B432" s="6" t="inlineStr">
        <is>
          <t>3144805</t>
        </is>
      </c>
      <c r="C432" s="4" t="inlineStr">
        <is>
          <t>Belo Horizonte</t>
        </is>
      </c>
      <c r="D432" s="16" t="n">
        <v>111697</v>
      </c>
      <c r="E432" s="8" t="n">
        <v>430.115</v>
      </c>
      <c r="F432" s="7" t="n">
        <v>-20.0757951</v>
      </c>
      <c r="G432" s="7" t="n">
        <v>-43.91211408</v>
      </c>
      <c r="H432" s="8" t="n">
        <v>82.5557</v>
      </c>
      <c r="I432" s="6" t="inlineStr">
        <is>
          <t>BAIXO</t>
        </is>
      </c>
      <c r="J432" s="6" t="inlineStr">
        <is>
          <t>rsu_organic</t>
        </is>
      </c>
      <c r="K432" s="6" t="n">
        <v>9</v>
      </c>
    </row>
    <row r="433">
      <c r="A433" s="6" t="inlineStr">
        <is>
          <t>3120300</t>
        </is>
      </c>
      <c r="B433" s="6" t="inlineStr">
        <is>
          <t>3120300</t>
        </is>
      </c>
      <c r="C433" s="4" t="inlineStr">
        <is>
          <t>Montes Claros</t>
        </is>
      </c>
      <c r="D433" s="16" t="n">
        <v>5121</v>
      </c>
      <c r="E433" s="8" t="n">
        <v>840.702</v>
      </c>
      <c r="F433" s="7" t="n">
        <v>-16.7085605</v>
      </c>
      <c r="G433" s="7" t="n">
        <v>-42.83786333</v>
      </c>
      <c r="H433" s="8" t="n">
        <v>82.09610000000001</v>
      </c>
      <c r="I433" s="6" t="inlineStr">
        <is>
          <t>BAIXO</t>
        </is>
      </c>
      <c r="J433" s="6" t="inlineStr">
        <is>
          <t>swine</t>
        </is>
      </c>
      <c r="K433" s="6" t="n">
        <v>10</v>
      </c>
    </row>
    <row r="434">
      <c r="A434" s="6" t="inlineStr">
        <is>
          <t>3119955</t>
        </is>
      </c>
      <c r="B434" s="6" t="inlineStr">
        <is>
          <t>3119955</t>
        </is>
      </c>
      <c r="C434" s="4" t="inlineStr">
        <is>
          <t>Divinópolis</t>
        </is>
      </c>
      <c r="D434" s="16" t="n">
        <v>6133</v>
      </c>
      <c r="E434" s="8" t="n">
        <v>101.112</v>
      </c>
      <c r="F434" s="7" t="n">
        <v>-20.449498</v>
      </c>
      <c r="G434" s="7" t="n">
        <v>-45.53902567</v>
      </c>
      <c r="H434" s="8" t="n">
        <v>81.7174</v>
      </c>
      <c r="I434" s="6" t="inlineStr">
        <is>
          <t>BAIXO</t>
        </is>
      </c>
      <c r="J434" s="6" t="inlineStr">
        <is>
          <t>swine</t>
        </is>
      </c>
      <c r="K434" s="6" t="n">
        <v>10</v>
      </c>
    </row>
    <row r="435">
      <c r="A435" s="6" t="inlineStr">
        <is>
          <t>3171600</t>
        </is>
      </c>
      <c r="B435" s="6" t="inlineStr">
        <is>
          <t>3171600</t>
        </is>
      </c>
      <c r="C435" s="4" t="inlineStr">
        <is>
          <t>Teófilo Otoni</t>
        </is>
      </c>
      <c r="D435" s="16" t="n">
        <v>11804</v>
      </c>
      <c r="E435" s="8" t="n">
        <v>868.914</v>
      </c>
      <c r="F435" s="7" t="n">
        <v>-16.6920925</v>
      </c>
      <c r="G435" s="7" t="n">
        <v>-42.38336492</v>
      </c>
      <c r="H435" s="8" t="n">
        <v>81.6815</v>
      </c>
      <c r="I435" s="6" t="inlineStr">
        <is>
          <t>BAIXO</t>
        </is>
      </c>
      <c r="J435" s="6" t="inlineStr">
        <is>
          <t>swine</t>
        </is>
      </c>
      <c r="K435" s="6" t="n">
        <v>8</v>
      </c>
    </row>
    <row r="436">
      <c r="A436" s="6" t="inlineStr">
        <is>
          <t>3136405</t>
        </is>
      </c>
      <c r="B436" s="6" t="inlineStr">
        <is>
          <t>3136405</t>
        </is>
      </c>
      <c r="C436" s="4" t="inlineStr">
        <is>
          <t>Montes Claros</t>
        </is>
      </c>
      <c r="D436" s="16" t="n">
        <v>3854</v>
      </c>
      <c r="E436" s="8" t="n">
        <v>790.9349999999999</v>
      </c>
      <c r="F436" s="7" t="n">
        <v>-17.6464865</v>
      </c>
      <c r="G436" s="7" t="n">
        <v>-44.07162682</v>
      </c>
      <c r="H436" s="8" t="n">
        <v>81.55670000000001</v>
      </c>
      <c r="I436" s="6" t="inlineStr">
        <is>
          <t>BAIXO</t>
        </is>
      </c>
      <c r="J436" s="6" t="inlineStr">
        <is>
          <t>swine</t>
        </is>
      </c>
      <c r="K436" s="6" t="n">
        <v>9</v>
      </c>
    </row>
    <row r="437">
      <c r="A437" s="6" t="inlineStr">
        <is>
          <t>3112703</t>
        </is>
      </c>
      <c r="B437" s="6" t="inlineStr">
        <is>
          <t>3112703</t>
        </is>
      </c>
      <c r="C437" s="4" t="inlineStr">
        <is>
          <t>Montes Claros</t>
        </is>
      </c>
      <c r="D437" s="16" t="n">
        <v>14108</v>
      </c>
      <c r="E437" s="8" t="n">
        <v>971.576</v>
      </c>
      <c r="F437" s="7" t="n">
        <v>-16.099117</v>
      </c>
      <c r="G437" s="7" t="n">
        <v>-43.6479093</v>
      </c>
      <c r="H437" s="8" t="n">
        <v>81.5316</v>
      </c>
      <c r="I437" s="6" t="inlineStr">
        <is>
          <t>BAIXO</t>
        </is>
      </c>
      <c r="J437" s="6" t="inlineStr">
        <is>
          <t>swine</t>
        </is>
      </c>
      <c r="K437" s="6" t="n">
        <v>8</v>
      </c>
    </row>
    <row r="438">
      <c r="A438" s="6" t="inlineStr">
        <is>
          <t>3127008</t>
        </is>
      </c>
      <c r="B438" s="6" t="inlineStr">
        <is>
          <t>3127008</t>
        </is>
      </c>
      <c r="C438" s="4" t="inlineStr">
        <is>
          <t>Uberaba</t>
        </is>
      </c>
      <c r="D438" s="16" t="n">
        <v>14540</v>
      </c>
      <c r="E438" s="8" t="n">
        <v>199.987</v>
      </c>
      <c r="F438" s="7" t="n">
        <v>-20.219155</v>
      </c>
      <c r="G438" s="7" t="n">
        <v>-49.13332979</v>
      </c>
      <c r="H438" s="8" t="n">
        <v>81.4033</v>
      </c>
      <c r="I438" s="6" t="inlineStr">
        <is>
          <t>BAIXO</t>
        </is>
      </c>
      <c r="J438" s="6" t="inlineStr">
        <is>
          <t>sugarcane</t>
        </is>
      </c>
      <c r="K438" s="6" t="n">
        <v>8</v>
      </c>
    </row>
    <row r="439">
      <c r="A439" s="6" t="inlineStr">
        <is>
          <t>3150539</t>
        </is>
      </c>
      <c r="B439" s="6" t="inlineStr">
        <is>
          <t>3150539</t>
        </is>
      </c>
      <c r="C439" s="4" t="inlineStr">
        <is>
          <t>Ipatinga</t>
        </is>
      </c>
      <c r="D439" s="16" t="n">
        <v>4706</v>
      </c>
      <c r="E439" s="8" t="n">
        <v>66.56999999999999</v>
      </c>
      <c r="F439" s="7" t="n">
        <v>-19.7424585</v>
      </c>
      <c r="G439" s="7" t="n">
        <v>-42.42062629</v>
      </c>
      <c r="H439" s="8" t="n">
        <v>81.3206</v>
      </c>
      <c r="I439" s="6" t="inlineStr">
        <is>
          <t>BAIXO</t>
        </is>
      </c>
      <c r="J439" s="6" t="inlineStr">
        <is>
          <t>forestry</t>
        </is>
      </c>
      <c r="K439" s="6" t="n">
        <v>8</v>
      </c>
    </row>
    <row r="440">
      <c r="A440" s="6" t="inlineStr">
        <is>
          <t>3142601</t>
        </is>
      </c>
      <c r="B440" s="6" t="inlineStr">
        <is>
          <t>3142601</t>
        </is>
      </c>
      <c r="C440" s="4" t="inlineStr">
        <is>
          <t>Varginha</t>
        </is>
      </c>
      <c r="D440" s="16" t="n">
        <v>8340</v>
      </c>
      <c r="E440" s="8" t="n">
        <v>216.54</v>
      </c>
      <c r="F440" s="7" t="n">
        <v>-21.730423</v>
      </c>
      <c r="G440" s="7" t="n">
        <v>-45.48812817</v>
      </c>
      <c r="H440" s="8" t="n">
        <v>80.77079999999999</v>
      </c>
      <c r="I440" s="6" t="inlineStr">
        <is>
          <t>BAIXO</t>
        </is>
      </c>
      <c r="J440" s="6" t="inlineStr">
        <is>
          <t>swine</t>
        </is>
      </c>
      <c r="K440" s="6" t="n">
        <v>12</v>
      </c>
    </row>
    <row r="441">
      <c r="A441" s="6" t="inlineStr">
        <is>
          <t>3132404</t>
        </is>
      </c>
      <c r="B441" s="6" t="inlineStr">
        <is>
          <t>3132404</t>
        </is>
      </c>
      <c r="C441" s="4" t="inlineStr">
        <is>
          <t>Pouso Alegre</t>
        </is>
      </c>
      <c r="D441" s="16" t="n">
        <v>93073</v>
      </c>
      <c r="E441" s="8" t="n">
        <v>294.835</v>
      </c>
      <c r="F441" s="7" t="n">
        <v>-22.4394165</v>
      </c>
      <c r="G441" s="7" t="n">
        <v>-45.44022794</v>
      </c>
      <c r="H441" s="8" t="n">
        <v>80.5305</v>
      </c>
      <c r="I441" s="6" t="inlineStr">
        <is>
          <t>BAIXO</t>
        </is>
      </c>
      <c r="J441" s="6" t="inlineStr">
        <is>
          <t>rsu_organic</t>
        </is>
      </c>
      <c r="K441" s="6" t="n">
        <v>11</v>
      </c>
    </row>
    <row r="442">
      <c r="A442" s="6" t="inlineStr">
        <is>
          <t>3157401</t>
        </is>
      </c>
      <c r="B442" s="6" t="inlineStr">
        <is>
          <t>3157401</t>
        </is>
      </c>
      <c r="C442" s="4" t="inlineStr">
        <is>
          <t>Juíz de Fora</t>
        </is>
      </c>
      <c r="D442" s="16" t="n">
        <v>4673</v>
      </c>
      <c r="E442" s="8" t="n">
        <v>258.726</v>
      </c>
      <c r="F442" s="7" t="n">
        <v>-20.229074</v>
      </c>
      <c r="G442" s="7" t="n">
        <v>-42.8259072</v>
      </c>
      <c r="H442" s="8" t="n">
        <v>80.05419999999999</v>
      </c>
      <c r="I442" s="6" t="inlineStr">
        <is>
          <t>BAIXO</t>
        </is>
      </c>
      <c r="J442" s="6" t="inlineStr">
        <is>
          <t>swine</t>
        </is>
      </c>
      <c r="K442" s="6" t="n">
        <v>8</v>
      </c>
    </row>
    <row r="443">
      <c r="A443" s="6" t="inlineStr">
        <is>
          <t>3149952</t>
        </is>
      </c>
      <c r="B443" s="6" t="inlineStr">
        <is>
          <t>3149952</t>
        </is>
      </c>
      <c r="C443" s="4" t="inlineStr">
        <is>
          <t>Ipatinga</t>
        </is>
      </c>
      <c r="D443" s="16" t="n">
        <v>6553</v>
      </c>
      <c r="E443" s="8" t="n">
        <v>228.907</v>
      </c>
      <c r="F443" s="7" t="n">
        <v>-19.0848505</v>
      </c>
      <c r="G443" s="7" t="n">
        <v>-42.22483732</v>
      </c>
      <c r="H443" s="8" t="n">
        <v>80.00320000000001</v>
      </c>
      <c r="I443" s="6" t="inlineStr">
        <is>
          <t>BAIXO</t>
        </is>
      </c>
      <c r="J443" s="6" t="inlineStr">
        <is>
          <t>forestry</t>
        </is>
      </c>
      <c r="K443" s="6" t="n">
        <v>8</v>
      </c>
    </row>
    <row r="444">
      <c r="A444" s="6" t="inlineStr">
        <is>
          <t>3141207</t>
        </is>
      </c>
      <c r="B444" s="6" t="inlineStr">
        <is>
          <t>3141207</t>
        </is>
      </c>
      <c r="C444" s="4" t="inlineStr">
        <is>
          <t>Patos de Minas</t>
        </is>
      </c>
      <c r="D444" s="16" t="n">
        <v>3814</v>
      </c>
      <c r="E444" s="8" t="n">
        <v>260.957</v>
      </c>
      <c r="F444" s="7" t="n">
        <v>-19.184299</v>
      </c>
      <c r="G444" s="7" t="n">
        <v>-46.05113259</v>
      </c>
      <c r="H444" s="8" t="n">
        <v>78.3813</v>
      </c>
      <c r="I444" s="6" t="inlineStr">
        <is>
          <t>BAIXO</t>
        </is>
      </c>
      <c r="J444" s="6" t="inlineStr">
        <is>
          <t>swine</t>
        </is>
      </c>
      <c r="K444" s="6" t="n">
        <v>10</v>
      </c>
    </row>
    <row r="445">
      <c r="A445" s="6" t="inlineStr">
        <is>
          <t>3116100</t>
        </is>
      </c>
      <c r="B445" s="6" t="inlineStr">
        <is>
          <t>3116100</t>
        </is>
      </c>
      <c r="C445" s="4" t="inlineStr">
        <is>
          <t>Teófilo Otoni</t>
        </is>
      </c>
      <c r="D445" s="16" t="n">
        <v>10337</v>
      </c>
      <c r="E445" s="8" t="n">
        <v>830.833</v>
      </c>
      <c r="F445" s="7" t="n">
        <v>-17.1564005</v>
      </c>
      <c r="G445" s="7" t="n">
        <v>-42.39969144</v>
      </c>
      <c r="H445" s="8" t="n">
        <v>78.2269</v>
      </c>
      <c r="I445" s="6" t="inlineStr">
        <is>
          <t>BAIXO</t>
        </is>
      </c>
      <c r="J445" s="6" t="inlineStr">
        <is>
          <t>swine</t>
        </is>
      </c>
      <c r="K445" s="6" t="n">
        <v>9</v>
      </c>
    </row>
    <row r="446">
      <c r="A446" s="6" t="inlineStr">
        <is>
          <t>3131109</t>
        </is>
      </c>
      <c r="B446" s="6" t="inlineStr">
        <is>
          <t>3131109</t>
        </is>
      </c>
      <c r="C446" s="4" t="inlineStr">
        <is>
          <t>Belo Horizonte</t>
        </is>
      </c>
      <c r="D446" s="16" t="n">
        <v>7371</v>
      </c>
      <c r="E446" s="8" t="n">
        <v>527.0599999999999</v>
      </c>
      <c r="F446" s="7" t="n">
        <v>-18.7736655</v>
      </c>
      <c r="G446" s="7" t="n">
        <v>-44.31327718</v>
      </c>
      <c r="H446" s="8" t="n">
        <v>77.9956</v>
      </c>
      <c r="I446" s="6" t="inlineStr">
        <is>
          <t>BAIXO</t>
        </is>
      </c>
      <c r="J446" s="6" t="inlineStr">
        <is>
          <t>swine</t>
        </is>
      </c>
      <c r="K446" s="6" t="n">
        <v>7</v>
      </c>
    </row>
    <row r="447">
      <c r="A447" s="6" t="inlineStr">
        <is>
          <t>3127909</t>
        </is>
      </c>
      <c r="B447" s="6" t="inlineStr">
        <is>
          <t>3127909</t>
        </is>
      </c>
      <c r="C447" s="4" t="inlineStr">
        <is>
          <t>Uberlândia</t>
        </is>
      </c>
      <c r="D447" s="16" t="n">
        <v>1392</v>
      </c>
      <c r="E447" s="8" t="n">
        <v>193.141</v>
      </c>
      <c r="F447" s="7" t="n">
        <v>-18.4883215</v>
      </c>
      <c r="G447" s="7" t="n">
        <v>-47.77404958</v>
      </c>
      <c r="H447" s="8" t="n">
        <v>77.7993</v>
      </c>
      <c r="I447" s="6" t="inlineStr">
        <is>
          <t>BAIXO</t>
        </is>
      </c>
      <c r="J447" s="6" t="inlineStr">
        <is>
          <t>swine</t>
        </is>
      </c>
      <c r="K447" s="6" t="n">
        <v>8</v>
      </c>
    </row>
    <row r="448">
      <c r="A448" s="6" t="inlineStr">
        <is>
          <t>3169208</t>
        </is>
      </c>
      <c r="B448" s="6" t="inlineStr">
        <is>
          <t>3169208</t>
        </is>
      </c>
      <c r="C448" s="4" t="inlineStr">
        <is>
          <t>Juíz de Fora</t>
        </is>
      </c>
      <c r="D448" s="16" t="n">
        <v>8609</v>
      </c>
      <c r="E448" s="8" t="n">
        <v>285.124</v>
      </c>
      <c r="F448" s="7" t="n">
        <v>-20.89111505</v>
      </c>
      <c r="G448" s="7" t="n">
        <v>-42.06688601</v>
      </c>
      <c r="H448" s="8" t="n">
        <v>77.33329999999999</v>
      </c>
      <c r="I448" s="6" t="inlineStr">
        <is>
          <t>BAIXO</t>
        </is>
      </c>
      <c r="J448" s="6" t="inlineStr">
        <is>
          <t>swine</t>
        </is>
      </c>
      <c r="K448" s="6" t="n">
        <v>9</v>
      </c>
    </row>
    <row r="449">
      <c r="A449" s="6" t="inlineStr">
        <is>
          <t>3109105</t>
        </is>
      </c>
      <c r="B449" s="6" t="inlineStr">
        <is>
          <t>3109105</t>
        </is>
      </c>
      <c r="C449" s="4" t="inlineStr">
        <is>
          <t>Pouso Alegre</t>
        </is>
      </c>
      <c r="D449" s="16" t="n">
        <v>10911</v>
      </c>
      <c r="E449" s="8" t="n">
        <v>356.15</v>
      </c>
      <c r="F449" s="7" t="n">
        <v>-22.488362</v>
      </c>
      <c r="G449" s="7" t="n">
        <v>-46.35617865</v>
      </c>
      <c r="H449" s="8" t="n">
        <v>76.82380000000001</v>
      </c>
      <c r="I449" s="6" t="inlineStr">
        <is>
          <t>BAIXO</t>
        </is>
      </c>
      <c r="J449" s="6" t="inlineStr">
        <is>
          <t>swine</t>
        </is>
      </c>
      <c r="K449" s="6" t="n">
        <v>11</v>
      </c>
    </row>
    <row r="450">
      <c r="A450" s="6" t="inlineStr">
        <is>
          <t>3156601</t>
        </is>
      </c>
      <c r="B450" s="6" t="inlineStr">
        <is>
          <t>3156601</t>
        </is>
      </c>
      <c r="C450" s="4" t="inlineStr">
        <is>
          <t>Teófilo Otoni</t>
        </is>
      </c>
      <c r="D450" s="16" t="n">
        <v>10298</v>
      </c>
      <c r="E450" s="8" t="n">
        <v>965.174</v>
      </c>
      <c r="F450" s="7" t="n">
        <v>-16.4418815</v>
      </c>
      <c r="G450" s="7" t="n">
        <v>-40.50983788</v>
      </c>
      <c r="H450" s="8" t="n">
        <v>76.68819999999999</v>
      </c>
      <c r="I450" s="6" t="inlineStr">
        <is>
          <t>BAIXO</t>
        </is>
      </c>
      <c r="J450" s="6" t="inlineStr">
        <is>
          <t>swine</t>
        </is>
      </c>
      <c r="K450" s="6" t="n">
        <v>6</v>
      </c>
    </row>
    <row r="451">
      <c r="A451" s="6" t="inlineStr">
        <is>
          <t>3146701</t>
        </is>
      </c>
      <c r="B451" s="6" t="inlineStr">
        <is>
          <t>3146701</t>
        </is>
      </c>
      <c r="C451" s="4" t="inlineStr">
        <is>
          <t>Juíz de Fora</t>
        </is>
      </c>
      <c r="D451" s="16" t="n">
        <v>5707</v>
      </c>
      <c r="E451" s="8" t="n">
        <v>316.476</v>
      </c>
      <c r="F451" s="7" t="n">
        <v>-21.4414048</v>
      </c>
      <c r="G451" s="7" t="n">
        <v>-42.33862584</v>
      </c>
      <c r="H451" s="8" t="n">
        <v>76.4569</v>
      </c>
      <c r="I451" s="6" t="inlineStr">
        <is>
          <t>BAIXO</t>
        </is>
      </c>
      <c r="J451" s="6" t="inlineStr">
        <is>
          <t>swine</t>
        </is>
      </c>
      <c r="K451" s="6" t="n">
        <v>9</v>
      </c>
    </row>
    <row r="452">
      <c r="A452" s="6" t="inlineStr">
        <is>
          <t>3129004</t>
        </is>
      </c>
      <c r="B452" s="6" t="inlineStr">
        <is>
          <t>3129004</t>
        </is>
      </c>
      <c r="C452" s="4" t="inlineStr">
        <is>
          <t>Juíz de Fora</t>
        </is>
      </c>
      <c r="D452" s="16" t="n">
        <v>7778</v>
      </c>
      <c r="E452" s="8" t="n">
        <v>293.578</v>
      </c>
      <c r="F452" s="7" t="n">
        <v>-21.016702</v>
      </c>
      <c r="G452" s="7" t="n">
        <v>-42.69507056</v>
      </c>
      <c r="H452" s="8" t="n">
        <v>76.3659</v>
      </c>
      <c r="I452" s="6" t="inlineStr">
        <is>
          <t>BAIXO</t>
        </is>
      </c>
      <c r="J452" s="6" t="inlineStr">
        <is>
          <t>swine</t>
        </is>
      </c>
      <c r="K452" s="6" t="n">
        <v>9</v>
      </c>
    </row>
    <row r="453">
      <c r="A453" s="6" t="inlineStr">
        <is>
          <t>3123528</t>
        </is>
      </c>
      <c r="B453" s="6" t="inlineStr">
        <is>
          <t>3123528</t>
        </is>
      </c>
      <c r="C453" s="4" t="inlineStr">
        <is>
          <t>Juíz de Fora</t>
        </is>
      </c>
      <c r="D453" s="16" t="n">
        <v>7817</v>
      </c>
      <c r="E453" s="8" t="n">
        <v>217.461</v>
      </c>
      <c r="F453" s="7" t="n">
        <v>-20.1508685</v>
      </c>
      <c r="G453" s="7" t="n">
        <v>-41.80083369</v>
      </c>
      <c r="H453" s="8" t="n">
        <v>76.2816</v>
      </c>
      <c r="I453" s="6" t="inlineStr">
        <is>
          <t>BAIXO</t>
        </is>
      </c>
      <c r="J453" s="6" t="inlineStr">
        <is>
          <t>swine</t>
        </is>
      </c>
      <c r="K453" s="6" t="n">
        <v>8</v>
      </c>
    </row>
    <row r="454">
      <c r="A454" s="6" t="inlineStr">
        <is>
          <t>3109006</t>
        </is>
      </c>
      <c r="B454" s="6" t="inlineStr">
        <is>
          <t>3109006</t>
        </is>
      </c>
      <c r="C454" s="4" t="inlineStr">
        <is>
          <t>Belo Horizonte</t>
        </is>
      </c>
      <c r="D454" s="16" t="n">
        <v>38915</v>
      </c>
      <c r="E454" s="8" t="n">
        <v>640.63</v>
      </c>
      <c r="F454" s="7" t="n">
        <v>-20.18670685</v>
      </c>
      <c r="G454" s="7" t="n">
        <v>-44.12740296</v>
      </c>
      <c r="H454" s="8" t="n">
        <v>76.0699</v>
      </c>
      <c r="I454" s="6" t="inlineStr">
        <is>
          <t>BAIXO</t>
        </is>
      </c>
      <c r="J454" s="6" t="inlineStr">
        <is>
          <t>swine</t>
        </is>
      </c>
      <c r="K454" s="6" t="n">
        <v>9</v>
      </c>
    </row>
    <row r="455">
      <c r="A455" s="6" t="inlineStr">
        <is>
          <t>3123908</t>
        </is>
      </c>
      <c r="B455" s="6" t="inlineStr">
        <is>
          <t>3123908</t>
        </is>
      </c>
      <c r="C455" s="4" t="inlineStr">
        <is>
          <t>Barbacena</t>
        </is>
      </c>
      <c r="D455" s="16" t="n">
        <v>14746</v>
      </c>
      <c r="E455" s="8" t="n">
        <v>456.796</v>
      </c>
      <c r="F455" s="7" t="n">
        <v>-20.704155</v>
      </c>
      <c r="G455" s="7" t="n">
        <v>-44.10839715</v>
      </c>
      <c r="H455" s="8" t="n">
        <v>76.0637</v>
      </c>
      <c r="I455" s="6" t="inlineStr">
        <is>
          <t>BAIXO</t>
        </is>
      </c>
      <c r="J455" s="6" t="inlineStr">
        <is>
          <t>swine</t>
        </is>
      </c>
      <c r="K455" s="6" t="n">
        <v>9</v>
      </c>
    </row>
    <row r="456">
      <c r="A456" s="6" t="inlineStr">
        <is>
          <t>3158300</t>
        </is>
      </c>
      <c r="B456" s="6" t="inlineStr">
        <is>
          <t>3158300</t>
        </is>
      </c>
      <c r="C456" s="4" t="inlineStr">
        <is>
          <t>Varginha</t>
        </is>
      </c>
      <c r="D456" s="16" t="n">
        <v>6691</v>
      </c>
      <c r="E456" s="8" t="n">
        <v>172.444</v>
      </c>
      <c r="F456" s="7" t="n">
        <v>-21.2596815</v>
      </c>
      <c r="G456" s="7" t="n">
        <v>-45.51533275</v>
      </c>
      <c r="H456" s="8" t="n">
        <v>75.973</v>
      </c>
      <c r="I456" s="6" t="inlineStr">
        <is>
          <t>BAIXO</t>
        </is>
      </c>
      <c r="J456" s="6" t="inlineStr">
        <is>
          <t>coffee</t>
        </is>
      </c>
      <c r="K456" s="6" t="n">
        <v>11</v>
      </c>
    </row>
    <row r="457">
      <c r="A457" s="6" t="inlineStr">
        <is>
          <t>3170008</t>
        </is>
      </c>
      <c r="B457" s="6" t="inlineStr">
        <is>
          <t>3170008</t>
        </is>
      </c>
      <c r="C457" s="4" t="inlineStr">
        <is>
          <t>Montes Claros</t>
        </is>
      </c>
      <c r="D457" s="16" t="n">
        <v>11708</v>
      </c>
      <c r="E457" s="8" t="n">
        <v>820.524</v>
      </c>
      <c r="F457" s="7" t="n">
        <v>-16.365003</v>
      </c>
      <c r="G457" s="7" t="n">
        <v>-44.84204737</v>
      </c>
      <c r="H457" s="8" t="n">
        <v>75.9482</v>
      </c>
      <c r="I457" s="6" t="inlineStr">
        <is>
          <t>BAIXO</t>
        </is>
      </c>
      <c r="J457" s="6" t="inlineStr">
        <is>
          <t>swine</t>
        </is>
      </c>
      <c r="K457" s="6" t="n">
        <v>9</v>
      </c>
    </row>
    <row r="458">
      <c r="A458" s="6" t="inlineStr">
        <is>
          <t>3120151</t>
        </is>
      </c>
      <c r="B458" s="6" t="inlineStr">
        <is>
          <t>3120151</t>
        </is>
      </c>
      <c r="C458" s="4" t="inlineStr">
        <is>
          <t>Teófilo Otoni</t>
        </is>
      </c>
      <c r="D458" s="16" t="n">
        <v>5265</v>
      </c>
      <c r="E458" s="8" t="n">
        <v>966.202</v>
      </c>
      <c r="F458" s="7" t="n">
        <v>-17.242433</v>
      </c>
      <c r="G458" s="7" t="n">
        <v>-40.99267715</v>
      </c>
      <c r="H458" s="8" t="n">
        <v>75.6266</v>
      </c>
      <c r="I458" s="6" t="inlineStr">
        <is>
          <t>BAIXO</t>
        </is>
      </c>
      <c r="J458" s="6" t="inlineStr">
        <is>
          <t>swine</t>
        </is>
      </c>
      <c r="K458" s="6" t="n">
        <v>7</v>
      </c>
    </row>
    <row r="459">
      <c r="A459" s="6" t="inlineStr">
        <is>
          <t>3153103</t>
        </is>
      </c>
      <c r="B459" s="6" t="inlineStr">
        <is>
          <t>3153103</t>
        </is>
      </c>
      <c r="C459" s="4" t="inlineStr">
        <is>
          <t>Juíz de Fora</t>
        </is>
      </c>
      <c r="D459" s="16" t="n">
        <v>4850</v>
      </c>
      <c r="E459" s="8" t="n">
        <v>236.798</v>
      </c>
      <c r="F459" s="7" t="n">
        <v>-20.77748601</v>
      </c>
      <c r="G459" s="7" t="n">
        <v>-43.15527821</v>
      </c>
      <c r="H459" s="8" t="n">
        <v>75.4718</v>
      </c>
      <c r="I459" s="6" t="inlineStr">
        <is>
          <t>BAIXO</t>
        </is>
      </c>
      <c r="J459" s="6" t="inlineStr">
        <is>
          <t>swine</t>
        </is>
      </c>
      <c r="K459" s="6" t="n">
        <v>9</v>
      </c>
    </row>
    <row r="460">
      <c r="A460" s="6" t="inlineStr">
        <is>
          <t>3129400</t>
        </is>
      </c>
      <c r="B460" s="6" t="inlineStr">
        <is>
          <t>3129400</t>
        </is>
      </c>
      <c r="C460" s="4" t="inlineStr">
        <is>
          <t>Barbacena</t>
        </is>
      </c>
      <c r="D460" s="16" t="n">
        <v>5198</v>
      </c>
      <c r="E460" s="8" t="n">
        <v>346.24</v>
      </c>
      <c r="F460" s="7" t="n">
        <v>-21.448477</v>
      </c>
      <c r="G460" s="7" t="n">
        <v>-43.95208049</v>
      </c>
      <c r="H460" s="8" t="n">
        <v>75.1288</v>
      </c>
      <c r="I460" s="6" t="inlineStr">
        <is>
          <t>BAIXO</t>
        </is>
      </c>
      <c r="J460" s="6" t="inlineStr">
        <is>
          <t>corn</t>
        </is>
      </c>
      <c r="K460" s="6" t="n">
        <v>9</v>
      </c>
    </row>
    <row r="461">
      <c r="A461" s="6" t="inlineStr">
        <is>
          <t>3127602</t>
        </is>
      </c>
      <c r="B461" s="6" t="inlineStr">
        <is>
          <t>3127602</t>
        </is>
      </c>
      <c r="C461" s="4" t="inlineStr">
        <is>
          <t>Teófilo Otoni</t>
        </is>
      </c>
      <c r="D461" s="16" t="n">
        <v>11331</v>
      </c>
      <c r="E461" s="8" t="n">
        <v>866.601</v>
      </c>
      <c r="F461" s="7" t="n">
        <v>-18.505399</v>
      </c>
      <c r="G461" s="7" t="n">
        <v>-43.80499302</v>
      </c>
      <c r="H461" s="8" t="n">
        <v>74.8387</v>
      </c>
      <c r="I461" s="6" t="inlineStr">
        <is>
          <t>BAIXO</t>
        </is>
      </c>
      <c r="J461" s="6" t="inlineStr">
        <is>
          <t>swine</t>
        </is>
      </c>
      <c r="K461" s="6" t="n">
        <v>8</v>
      </c>
    </row>
    <row r="462">
      <c r="A462" s="6" t="inlineStr">
        <is>
          <t>3131901</t>
        </is>
      </c>
      <c r="B462" s="6" t="inlineStr">
        <is>
          <t>3131901</t>
        </is>
      </c>
      <c r="C462" s="4" t="inlineStr">
        <is>
          <t>Belo Horizonte</t>
        </is>
      </c>
      <c r="D462" s="16" t="n">
        <v>53365</v>
      </c>
      <c r="E462" s="8" t="n">
        <v>544.535</v>
      </c>
      <c r="F462" s="7" t="n">
        <v>-20.25563825</v>
      </c>
      <c r="G462" s="7" t="n">
        <v>-43.83466338</v>
      </c>
      <c r="H462" s="8" t="n">
        <v>74.2351</v>
      </c>
      <c r="I462" s="6" t="inlineStr">
        <is>
          <t>BAIXO</t>
        </is>
      </c>
      <c r="J462" s="6" t="inlineStr">
        <is>
          <t>swine</t>
        </is>
      </c>
      <c r="K462" s="6" t="n">
        <v>9</v>
      </c>
    </row>
    <row r="463">
      <c r="A463" s="6" t="inlineStr">
        <is>
          <t>3116407</t>
        </is>
      </c>
      <c r="B463" s="6" t="inlineStr">
        <is>
          <t>3116407</t>
        </is>
      </c>
      <c r="C463" s="4" t="inlineStr">
        <is>
          <t>Varginha</t>
        </is>
      </c>
      <c r="D463" s="16" t="n">
        <v>4658</v>
      </c>
      <c r="E463" s="8" t="n">
        <v>227.627</v>
      </c>
      <c r="F463" s="7" t="n">
        <v>-20.358816</v>
      </c>
      <c r="G463" s="7" t="n">
        <v>-47.25711751</v>
      </c>
      <c r="H463" s="8" t="n">
        <v>74.2161</v>
      </c>
      <c r="I463" s="6" t="inlineStr">
        <is>
          <t>BAIXO</t>
        </is>
      </c>
      <c r="J463" s="6" t="inlineStr">
        <is>
          <t>coffee</t>
        </is>
      </c>
      <c r="K463" s="6" t="n">
        <v>10</v>
      </c>
    </row>
    <row r="464">
      <c r="A464" s="6" t="inlineStr">
        <is>
          <t>3170651</t>
        </is>
      </c>
      <c r="B464" s="6" t="inlineStr">
        <is>
          <t>3170651</t>
        </is>
      </c>
      <c r="C464" s="4" t="inlineStr">
        <is>
          <t>Montes Claros</t>
        </is>
      </c>
      <c r="D464" s="16" t="n">
        <v>4633</v>
      </c>
      <c r="E464" s="8" t="n">
        <v>491.512</v>
      </c>
      <c r="F464" s="7" t="n">
        <v>-15.3321445</v>
      </c>
      <c r="G464" s="7" t="n">
        <v>-42.29042948</v>
      </c>
      <c r="H464" s="8" t="n">
        <v>74.148</v>
      </c>
      <c r="I464" s="6" t="inlineStr">
        <is>
          <t>BAIXO</t>
        </is>
      </c>
      <c r="J464" s="6" t="inlineStr">
        <is>
          <t>forestry</t>
        </is>
      </c>
      <c r="K464" s="6" t="n">
        <v>9</v>
      </c>
    </row>
    <row r="465">
      <c r="A465" s="6" t="inlineStr">
        <is>
          <t>3127073</t>
        </is>
      </c>
      <c r="B465" s="6" t="inlineStr">
        <is>
          <t>3127073</t>
        </is>
      </c>
      <c r="C465" s="4" t="inlineStr">
        <is>
          <t>Montes Claros</t>
        </is>
      </c>
      <c r="D465" s="16" t="n">
        <v>4647</v>
      </c>
      <c r="E465" s="8" t="n">
        <v>762.837</v>
      </c>
      <c r="F465" s="7" t="n">
        <v>-16.1299665</v>
      </c>
      <c r="G465" s="7" t="n">
        <v>-42.5291697</v>
      </c>
      <c r="H465" s="8" t="n">
        <v>73.8759</v>
      </c>
      <c r="I465" s="6" t="inlineStr">
        <is>
          <t>BAIXO</t>
        </is>
      </c>
      <c r="J465" s="6" t="inlineStr">
        <is>
          <t>swine</t>
        </is>
      </c>
      <c r="K465" s="6" t="n">
        <v>9</v>
      </c>
    </row>
    <row r="466">
      <c r="A466" s="6" t="inlineStr">
        <is>
          <t>3156700</t>
        </is>
      </c>
      <c r="B466" s="6" t="inlineStr">
        <is>
          <t>3156700</t>
        </is>
      </c>
      <c r="C466" s="4" t="inlineStr">
        <is>
          <t>Belo Horizonte</t>
        </is>
      </c>
      <c r="D466" s="16" t="n">
        <v>129380</v>
      </c>
      <c r="E466" s="8" t="n">
        <v>302.453</v>
      </c>
      <c r="F466" s="7" t="n">
        <v>-19.8460181</v>
      </c>
      <c r="G466" s="7" t="n">
        <v>-43.82566751</v>
      </c>
      <c r="H466" s="8" t="n">
        <v>73.8246</v>
      </c>
      <c r="I466" s="6" t="inlineStr">
        <is>
          <t>BAIXO</t>
        </is>
      </c>
      <c r="J466" s="6" t="inlineStr">
        <is>
          <t>rsu_organic</t>
        </is>
      </c>
      <c r="K466" s="6" t="n">
        <v>9</v>
      </c>
    </row>
    <row r="467">
      <c r="A467" s="6" t="inlineStr">
        <is>
          <t>3105004</t>
        </is>
      </c>
      <c r="B467" s="6" t="inlineStr">
        <is>
          <t>3105004</t>
        </is>
      </c>
      <c r="C467" s="4" t="inlineStr">
        <is>
          <t>Belo Horizonte</t>
        </is>
      </c>
      <c r="D467" s="16" t="n">
        <v>7492</v>
      </c>
      <c r="E467" s="8" t="n">
        <v>556.266</v>
      </c>
      <c r="F467" s="7" t="n">
        <v>-19.246351</v>
      </c>
      <c r="G467" s="7" t="n">
        <v>-43.84707735</v>
      </c>
      <c r="H467" s="8" t="n">
        <v>73.75539999999999</v>
      </c>
      <c r="I467" s="6" t="inlineStr">
        <is>
          <t>BAIXO</t>
        </is>
      </c>
      <c r="J467" s="6" t="inlineStr">
        <is>
          <t>swine</t>
        </is>
      </c>
      <c r="K467" s="6" t="n">
        <v>10</v>
      </c>
    </row>
    <row r="468">
      <c r="A468" s="6" t="inlineStr">
        <is>
          <t>3136900</t>
        </is>
      </c>
      <c r="B468" s="6" t="inlineStr">
        <is>
          <t>3136900</t>
        </is>
      </c>
      <c r="C468" s="4" t="inlineStr">
        <is>
          <t>Varginha</t>
        </is>
      </c>
      <c r="D468" s="16" t="n">
        <v>11084</v>
      </c>
      <c r="E468" s="8" t="n">
        <v>220.353</v>
      </c>
      <c r="F468" s="7" t="n">
        <v>-21.228913</v>
      </c>
      <c r="G468" s="7" t="n">
        <v>-46.51286681</v>
      </c>
      <c r="H468" s="8" t="n">
        <v>73.25920000000001</v>
      </c>
      <c r="I468" s="6" t="inlineStr">
        <is>
          <t>BAIXO</t>
        </is>
      </c>
      <c r="J468" s="6" t="inlineStr">
        <is>
          <t>swine</t>
        </is>
      </c>
      <c r="K468" s="6" t="n">
        <v>10</v>
      </c>
    </row>
    <row r="469">
      <c r="A469" s="6" t="inlineStr">
        <is>
          <t>3139508</t>
        </is>
      </c>
      <c r="B469" s="6" t="inlineStr">
        <is>
          <t>3139508</t>
        </is>
      </c>
      <c r="C469" s="4" t="inlineStr">
        <is>
          <t>Juíz de Fora</t>
        </is>
      </c>
      <c r="D469" s="16" t="n">
        <v>20613</v>
      </c>
      <c r="E469" s="8" t="n">
        <v>182.9</v>
      </c>
      <c r="F469" s="7" t="n">
        <v>-20.349291</v>
      </c>
      <c r="G469" s="7" t="n">
        <v>-41.93953534</v>
      </c>
      <c r="H469" s="8" t="n">
        <v>73.163</v>
      </c>
      <c r="I469" s="6" t="inlineStr">
        <is>
          <t>BAIXO</t>
        </is>
      </c>
      <c r="J469" s="6" t="inlineStr">
        <is>
          <t>swine</t>
        </is>
      </c>
      <c r="K469" s="6" t="n">
        <v>8</v>
      </c>
    </row>
    <row r="470">
      <c r="A470" s="6" t="inlineStr">
        <is>
          <t>3139201</t>
        </is>
      </c>
      <c r="B470" s="6" t="inlineStr">
        <is>
          <t>3139201</t>
        </is>
      </c>
      <c r="C470" s="4" t="inlineStr">
        <is>
          <t>Teófilo Otoni</t>
        </is>
      </c>
      <c r="D470" s="16" t="n">
        <v>17516</v>
      </c>
      <c r="E470" s="8" t="n">
        <v>727.886</v>
      </c>
      <c r="F470" s="7" t="n">
        <v>-17.856578</v>
      </c>
      <c r="G470" s="7" t="n">
        <v>-42.14841665</v>
      </c>
      <c r="H470" s="8" t="n">
        <v>73.1585</v>
      </c>
      <c r="I470" s="6" t="inlineStr">
        <is>
          <t>BAIXO</t>
        </is>
      </c>
      <c r="J470" s="6" t="inlineStr">
        <is>
          <t>swine</t>
        </is>
      </c>
      <c r="K470" s="6" t="n">
        <v>10</v>
      </c>
    </row>
    <row r="471">
      <c r="A471" s="6" t="inlineStr">
        <is>
          <t>3102902</t>
        </is>
      </c>
      <c r="B471" s="6" t="inlineStr">
        <is>
          <t>3102902</t>
        </is>
      </c>
      <c r="C471" s="4" t="inlineStr">
        <is>
          <t>Barbacena</t>
        </is>
      </c>
      <c r="D471" s="16" t="n">
        <v>11095</v>
      </c>
      <c r="E471" s="8" t="n">
        <v>529.915</v>
      </c>
      <c r="F471" s="7" t="n">
        <v>-21.42814</v>
      </c>
      <c r="G471" s="7" t="n">
        <v>-43.76911693</v>
      </c>
      <c r="H471" s="8" t="n">
        <v>73.1525</v>
      </c>
      <c r="I471" s="6" t="inlineStr">
        <is>
          <t>BAIXO</t>
        </is>
      </c>
      <c r="J471" s="6" t="inlineStr">
        <is>
          <t>swine</t>
        </is>
      </c>
      <c r="K471" s="6" t="n">
        <v>10</v>
      </c>
    </row>
    <row r="472">
      <c r="A472" s="6" t="inlineStr">
        <is>
          <t>3157104</t>
        </is>
      </c>
      <c r="B472" s="6" t="inlineStr">
        <is>
          <t>3157104</t>
        </is>
      </c>
      <c r="C472" s="4" t="inlineStr">
        <is>
          <t>Teófilo Otoni</t>
        </is>
      </c>
      <c r="D472" s="16" t="n">
        <v>6110</v>
      </c>
      <c r="E472" s="8" t="n">
        <v>938.008</v>
      </c>
      <c r="F472" s="7" t="n">
        <v>-16.12233</v>
      </c>
      <c r="G472" s="7" t="n">
        <v>-39.99858621</v>
      </c>
      <c r="H472" s="8" t="n">
        <v>73.04859999999999</v>
      </c>
      <c r="I472" s="6" t="inlineStr">
        <is>
          <t>BAIXO</t>
        </is>
      </c>
      <c r="J472" s="6" t="inlineStr">
        <is>
          <t>swine</t>
        </is>
      </c>
      <c r="K472" s="6" t="n">
        <v>6</v>
      </c>
    </row>
    <row r="473">
      <c r="A473" s="6" t="inlineStr">
        <is>
          <t>3170909</t>
        </is>
      </c>
      <c r="B473" s="6" t="inlineStr">
        <is>
          <t>3170909</t>
        </is>
      </c>
      <c r="C473" s="4" t="inlineStr">
        <is>
          <t>Montes Claros</t>
        </is>
      </c>
      <c r="D473" s="16" t="n">
        <v>18840</v>
      </c>
      <c r="E473" s="8" t="n">
        <v>814.994</v>
      </c>
      <c r="F473" s="7" t="n">
        <v>-15.6374595</v>
      </c>
      <c r="G473" s="7" t="n">
        <v>-43.95926561</v>
      </c>
      <c r="H473" s="8" t="n">
        <v>72.4653</v>
      </c>
      <c r="I473" s="6" t="inlineStr">
        <is>
          <t>BAIXO</t>
        </is>
      </c>
      <c r="J473" s="6" t="inlineStr">
        <is>
          <t>swine</t>
        </is>
      </c>
      <c r="K473" s="6" t="n">
        <v>7</v>
      </c>
    </row>
    <row r="474">
      <c r="A474" s="6" t="inlineStr">
        <is>
          <t>3155702</t>
        </is>
      </c>
      <c r="B474" s="6" t="inlineStr">
        <is>
          <t>3155702</t>
        </is>
      </c>
      <c r="C474" s="4" t="inlineStr">
        <is>
          <t>Ipatinga</t>
        </is>
      </c>
      <c r="D474" s="16" t="n">
        <v>14631</v>
      </c>
      <c r="E474" s="8" t="n">
        <v>373.037</v>
      </c>
      <c r="F474" s="7" t="n">
        <v>-19.9612565</v>
      </c>
      <c r="G474" s="7" t="n">
        <v>-43.13546368</v>
      </c>
      <c r="H474" s="8" t="n">
        <v>72.33969999999999</v>
      </c>
      <c r="I474" s="6" t="inlineStr">
        <is>
          <t>BAIXO</t>
        </is>
      </c>
      <c r="J474" s="6" t="inlineStr">
        <is>
          <t>forestry</t>
        </is>
      </c>
      <c r="K474" s="6" t="n">
        <v>9</v>
      </c>
    </row>
    <row r="475">
      <c r="A475" s="6" t="inlineStr">
        <is>
          <t>3117405</t>
        </is>
      </c>
      <c r="B475" s="6" t="inlineStr">
        <is>
          <t>3117405</t>
        </is>
      </c>
      <c r="C475" s="4" t="inlineStr">
        <is>
          <t>Juíz de Fora</t>
        </is>
      </c>
      <c r="D475" s="16" t="n">
        <v>4409</v>
      </c>
      <c r="E475" s="8" t="n">
        <v>253.935</v>
      </c>
      <c r="F475" s="7" t="n">
        <v>-19.9014185</v>
      </c>
      <c r="G475" s="7" t="n">
        <v>-41.66492799</v>
      </c>
      <c r="H475" s="8" t="n">
        <v>72.26730000000001</v>
      </c>
      <c r="I475" s="6" t="inlineStr">
        <is>
          <t>BAIXO</t>
        </is>
      </c>
      <c r="J475" s="6" t="inlineStr">
        <is>
          <t>swine</t>
        </is>
      </c>
      <c r="K475" s="6" t="n">
        <v>10</v>
      </c>
    </row>
    <row r="476">
      <c r="A476" s="6" t="inlineStr">
        <is>
          <t>3133006</t>
        </is>
      </c>
      <c r="B476" s="6" t="inlineStr">
        <is>
          <t>3133006</t>
        </is>
      </c>
      <c r="C476" s="4" t="inlineStr">
        <is>
          <t>Pouso Alegre</t>
        </is>
      </c>
      <c r="D476" s="16" t="n">
        <v>14786</v>
      </c>
      <c r="E476" s="8" t="n">
        <v>431.792</v>
      </c>
      <c r="F476" s="7" t="n">
        <v>-22.2894525</v>
      </c>
      <c r="G476" s="7" t="n">
        <v>-44.75805835</v>
      </c>
      <c r="H476" s="8" t="n">
        <v>72.0707</v>
      </c>
      <c r="I476" s="6" t="inlineStr">
        <is>
          <t>BAIXO</t>
        </is>
      </c>
      <c r="J476" s="6" t="inlineStr">
        <is>
          <t>swine</t>
        </is>
      </c>
      <c r="K476" s="6" t="n">
        <v>8</v>
      </c>
    </row>
    <row r="477">
      <c r="A477" s="6" t="inlineStr">
        <is>
          <t>3138674</t>
        </is>
      </c>
      <c r="B477" s="6" t="inlineStr">
        <is>
          <t>3138674</t>
        </is>
      </c>
      <c r="C477" s="4" t="inlineStr">
        <is>
          <t>Juíz de Fora</t>
        </is>
      </c>
      <c r="D477" s="16" t="n">
        <v>6956</v>
      </c>
      <c r="E477" s="8" t="n">
        <v>145.418</v>
      </c>
      <c r="F477" s="7" t="n">
        <v>-20.4350655</v>
      </c>
      <c r="G477" s="7" t="n">
        <v>-42.06811841</v>
      </c>
      <c r="H477" s="8" t="n">
        <v>72.04559999999999</v>
      </c>
      <c r="I477" s="6" t="inlineStr">
        <is>
          <t>BAIXO</t>
        </is>
      </c>
      <c r="J477" s="6" t="inlineStr">
        <is>
          <t>swine</t>
        </is>
      </c>
      <c r="K477" s="6" t="n">
        <v>9</v>
      </c>
    </row>
    <row r="478">
      <c r="A478" s="6" t="inlineStr">
        <is>
          <t>3123304</t>
        </is>
      </c>
      <c r="B478" s="6" t="inlineStr">
        <is>
          <t>3123304</t>
        </is>
      </c>
      <c r="C478" s="4" t="inlineStr">
        <is>
          <t>Juíz de Fora</t>
        </is>
      </c>
      <c r="D478" s="16" t="n">
        <v>4987</v>
      </c>
      <c r="E478" s="8" t="n">
        <v>231.169</v>
      </c>
      <c r="F478" s="7" t="n">
        <v>-21.0234195</v>
      </c>
      <c r="G478" s="7" t="n">
        <v>-43.16406909</v>
      </c>
      <c r="H478" s="8" t="n">
        <v>71.8407</v>
      </c>
      <c r="I478" s="6" t="inlineStr">
        <is>
          <t>BAIXO</t>
        </is>
      </c>
      <c r="J478" s="6" t="inlineStr">
        <is>
          <t>swine</t>
        </is>
      </c>
      <c r="K478" s="6" t="n">
        <v>9</v>
      </c>
    </row>
    <row r="479">
      <c r="A479" s="6" t="inlineStr">
        <is>
          <t>3165552</t>
        </is>
      </c>
      <c r="B479" s="6" t="inlineStr">
        <is>
          <t>3165552</t>
        </is>
      </c>
      <c r="C479" s="4" t="inlineStr">
        <is>
          <t>Teófilo Otoni</t>
        </is>
      </c>
      <c r="D479" s="16" t="n">
        <v>9917</v>
      </c>
      <c r="E479" s="8" t="n">
        <v>534.655</v>
      </c>
      <c r="F479" s="7" t="n">
        <v>-17.609456</v>
      </c>
      <c r="G479" s="7" t="n">
        <v>-42.14322622</v>
      </c>
      <c r="H479" s="8" t="n">
        <v>71.0968</v>
      </c>
      <c r="I479" s="6" t="inlineStr">
        <is>
          <t>BAIXO</t>
        </is>
      </c>
      <c r="J479" s="6" t="inlineStr">
        <is>
          <t>swine</t>
        </is>
      </c>
      <c r="K479" s="6" t="n">
        <v>10</v>
      </c>
    </row>
    <row r="480">
      <c r="A480" s="6" t="inlineStr">
        <is>
          <t>3114907</t>
        </is>
      </c>
      <c r="B480" s="6" t="inlineStr">
        <is>
          <t>3114907</t>
        </is>
      </c>
      <c r="C480" s="4" t="inlineStr">
        <is>
          <t>Barbacena</t>
        </is>
      </c>
      <c r="D480" s="16" t="n">
        <v>2214</v>
      </c>
      <c r="E480" s="8" t="n">
        <v>157.727</v>
      </c>
      <c r="F480" s="7" t="n">
        <v>-20.839721</v>
      </c>
      <c r="G480" s="7" t="n">
        <v>-43.93877014</v>
      </c>
      <c r="H480" s="8" t="n">
        <v>71.02419999999999</v>
      </c>
      <c r="I480" s="6" t="inlineStr">
        <is>
          <t>BAIXO</t>
        </is>
      </c>
      <c r="J480" s="6" t="inlineStr">
        <is>
          <t>corn</t>
        </is>
      </c>
      <c r="K480" s="6" t="n">
        <v>9</v>
      </c>
    </row>
    <row r="481">
      <c r="A481" s="6" t="inlineStr">
        <is>
          <t>3120870</t>
        </is>
      </c>
      <c r="B481" s="6" t="inlineStr">
        <is>
          <t>3120870</t>
        </is>
      </c>
      <c r="C481" s="4" t="inlineStr">
        <is>
          <t>Montes Claros</t>
        </is>
      </c>
      <c r="D481" s="16" t="n">
        <v>7406</v>
      </c>
      <c r="E481" s="8" t="n">
        <v>570.95</v>
      </c>
      <c r="F481" s="7" t="n">
        <v>-15.8573187</v>
      </c>
      <c r="G481" s="7" t="n">
        <v>-41.7394411</v>
      </c>
      <c r="H481" s="8" t="n">
        <v>71.0055</v>
      </c>
      <c r="I481" s="6" t="inlineStr">
        <is>
          <t>BAIXO</t>
        </is>
      </c>
      <c r="J481" s="6" t="inlineStr">
        <is>
          <t>swine</t>
        </is>
      </c>
      <c r="K481" s="6" t="n">
        <v>10</v>
      </c>
    </row>
    <row r="482">
      <c r="A482" s="6" t="inlineStr">
        <is>
          <t>3100807</t>
        </is>
      </c>
      <c r="B482" s="6" t="inlineStr">
        <is>
          <t>3100807</t>
        </is>
      </c>
      <c r="C482" s="4" t="inlineStr">
        <is>
          <t>Varginha</t>
        </is>
      </c>
      <c r="D482" s="16" t="n">
        <v>4357</v>
      </c>
      <c r="E482" s="8" t="n">
        <v>232.091</v>
      </c>
      <c r="F482" s="7" t="n">
        <v>-20.981913</v>
      </c>
      <c r="G482" s="7" t="n">
        <v>-45.43063296</v>
      </c>
      <c r="H482" s="8" t="n">
        <v>70.895</v>
      </c>
      <c r="I482" s="6" t="inlineStr">
        <is>
          <t>BAIXO</t>
        </is>
      </c>
      <c r="J482" s="6" t="inlineStr">
        <is>
          <t>swine</t>
        </is>
      </c>
      <c r="K482" s="6" t="n">
        <v>12</v>
      </c>
    </row>
    <row r="483">
      <c r="A483" s="6" t="inlineStr">
        <is>
          <t>3139607</t>
        </is>
      </c>
      <c r="B483" s="6" t="inlineStr">
        <is>
          <t>3139607</t>
        </is>
      </c>
      <c r="C483" s="4" t="inlineStr">
        <is>
          <t>Governador Valadares</t>
        </is>
      </c>
      <c r="D483" s="16" t="n">
        <v>26535</v>
      </c>
      <c r="E483" s="8" t="n">
        <v>685.208</v>
      </c>
      <c r="F483" s="7" t="n">
        <v>-18.68232225</v>
      </c>
      <c r="G483" s="7" t="n">
        <v>-41.07342308</v>
      </c>
      <c r="H483" s="8" t="n">
        <v>70.1306</v>
      </c>
      <c r="I483" s="6" t="inlineStr">
        <is>
          <t>BAIXO</t>
        </is>
      </c>
      <c r="J483" s="6" t="inlineStr">
        <is>
          <t>swine</t>
        </is>
      </c>
      <c r="K483" s="6" t="n">
        <v>9</v>
      </c>
    </row>
    <row r="484">
      <c r="A484" s="6" t="inlineStr">
        <is>
          <t>3160454</t>
        </is>
      </c>
      <c r="B484" s="6" t="inlineStr">
        <is>
          <t>3160454</t>
        </is>
      </c>
      <c r="C484" s="4" t="inlineStr">
        <is>
          <t>Montes Claros</t>
        </is>
      </c>
      <c r="D484" s="16" t="n">
        <v>6629</v>
      </c>
      <c r="E484" s="8" t="n">
        <v>796.29</v>
      </c>
      <c r="F484" s="7" t="n">
        <v>-15.2674255</v>
      </c>
      <c r="G484" s="7" t="n">
        <v>-42.67341046</v>
      </c>
      <c r="H484" s="8" t="n">
        <v>69.9406</v>
      </c>
      <c r="I484" s="6" t="inlineStr">
        <is>
          <t>BAIXO</t>
        </is>
      </c>
      <c r="J484" s="6" t="inlineStr">
        <is>
          <t>swine</t>
        </is>
      </c>
      <c r="K484" s="6" t="n">
        <v>10</v>
      </c>
    </row>
    <row r="485">
      <c r="A485" s="6" t="inlineStr">
        <is>
          <t>3100906</t>
        </is>
      </c>
      <c r="B485" s="6" t="inlineStr">
        <is>
          <t>3100906</t>
        </is>
      </c>
      <c r="C485" s="4" t="inlineStr">
        <is>
          <t>Teófilo Otoni</t>
        </is>
      </c>
      <c r="D485" s="16" t="n">
        <v>18448</v>
      </c>
      <c r="E485" s="8" t="n">
        <v>820.079</v>
      </c>
      <c r="F485" s="7" t="n">
        <v>-17.036702</v>
      </c>
      <c r="G485" s="7" t="n">
        <v>-40.99204046</v>
      </c>
      <c r="H485" s="8" t="n">
        <v>69.1416</v>
      </c>
      <c r="I485" s="6" t="inlineStr">
        <is>
          <t>BAIXO</t>
        </is>
      </c>
      <c r="J485" s="6" t="inlineStr">
        <is>
          <t>swine</t>
        </is>
      </c>
      <c r="K485" s="6" t="n">
        <v>7</v>
      </c>
    </row>
    <row r="486">
      <c r="A486" s="6" t="inlineStr">
        <is>
          <t>3109709</t>
        </is>
      </c>
      <c r="B486" s="6" t="inlineStr">
        <is>
          <t>3109709</t>
        </is>
      </c>
      <c r="C486" s="4" t="inlineStr">
        <is>
          <t>Pouso Alegre</t>
        </is>
      </c>
      <c r="D486" s="16" t="n">
        <v>11883</v>
      </c>
      <c r="E486" s="8" t="n">
        <v>304.243</v>
      </c>
      <c r="F486" s="7" t="n">
        <v>-22.372679</v>
      </c>
      <c r="G486" s="7" t="n">
        <v>-45.78464154</v>
      </c>
      <c r="H486" s="8" t="n">
        <v>69.0389</v>
      </c>
      <c r="I486" s="6" t="inlineStr">
        <is>
          <t>BAIXO</t>
        </is>
      </c>
      <c r="J486" s="6" t="inlineStr">
        <is>
          <t>swine</t>
        </is>
      </c>
      <c r="K486" s="6" t="n">
        <v>10</v>
      </c>
    </row>
    <row r="487">
      <c r="A487" s="6" t="inlineStr">
        <is>
          <t>3160603</t>
        </is>
      </c>
      <c r="B487" s="6" t="inlineStr">
        <is>
          <t>3160603</t>
        </is>
      </c>
      <c r="C487" s="4" t="inlineStr">
        <is>
          <t>Belo Horizonte</t>
        </is>
      </c>
      <c r="D487" s="16" t="n">
        <v>2717</v>
      </c>
      <c r="E487" s="8" t="n">
        <v>430.656</v>
      </c>
      <c r="F487" s="7" t="n">
        <v>-18.3922515</v>
      </c>
      <c r="G487" s="7" t="n">
        <v>-44.18968297</v>
      </c>
      <c r="H487" s="8" t="n">
        <v>68.90600000000001</v>
      </c>
      <c r="I487" s="6" t="inlineStr">
        <is>
          <t>BAIXO</t>
        </is>
      </c>
      <c r="J487" s="6" t="inlineStr">
        <is>
          <t>swine</t>
        </is>
      </c>
      <c r="K487" s="6" t="n">
        <v>9</v>
      </c>
    </row>
    <row r="488">
      <c r="A488" s="6" t="inlineStr">
        <is>
          <t>3119500</t>
        </is>
      </c>
      <c r="B488" s="6" t="inlineStr">
        <is>
          <t>3119500</t>
        </is>
      </c>
      <c r="C488" s="4" t="inlineStr">
        <is>
          <t>Teófilo Otoni</t>
        </is>
      </c>
      <c r="D488" s="16" t="n">
        <v>8200</v>
      </c>
      <c r="E488" s="8" t="n">
        <v>815.413</v>
      </c>
      <c r="F488" s="7" t="n">
        <v>-16.6023725</v>
      </c>
      <c r="G488" s="7" t="n">
        <v>-42.18105505</v>
      </c>
      <c r="H488" s="8" t="n">
        <v>68.857</v>
      </c>
      <c r="I488" s="6" t="inlineStr">
        <is>
          <t>BAIXO</t>
        </is>
      </c>
      <c r="J488" s="6" t="inlineStr">
        <is>
          <t>swine</t>
        </is>
      </c>
      <c r="K488" s="6" t="n">
        <v>9</v>
      </c>
    </row>
    <row r="489">
      <c r="A489" s="6" t="inlineStr">
        <is>
          <t>3169802</t>
        </is>
      </c>
      <c r="B489" s="6" t="inlineStr">
        <is>
          <t>3169802</t>
        </is>
      </c>
      <c r="C489" s="4" t="inlineStr">
        <is>
          <t>Pouso Alegre</t>
        </is>
      </c>
      <c r="D489" s="16" t="n">
        <v>4935</v>
      </c>
      <c r="E489" s="8" t="n">
        <v>221</v>
      </c>
      <c r="F489" s="7" t="n">
        <v>-21.8796525</v>
      </c>
      <c r="G489" s="7" t="n">
        <v>-45.79372945</v>
      </c>
      <c r="H489" s="8" t="n">
        <v>68.4576</v>
      </c>
      <c r="I489" s="6" t="inlineStr">
        <is>
          <t>BAIXO</t>
        </is>
      </c>
      <c r="J489" s="6" t="inlineStr">
        <is>
          <t>swine</t>
        </is>
      </c>
      <c r="K489" s="6" t="n">
        <v>12</v>
      </c>
    </row>
    <row r="490">
      <c r="A490" s="6" t="inlineStr">
        <is>
          <t>3131505</t>
        </is>
      </c>
      <c r="B490" s="6" t="inlineStr">
        <is>
          <t>3131505</t>
        </is>
      </c>
      <c r="C490" s="4" t="inlineStr">
        <is>
          <t>Pouso Alegre</t>
        </is>
      </c>
      <c r="D490" s="16" t="n">
        <v>9135</v>
      </c>
      <c r="E490" s="8" t="n">
        <v>298.195</v>
      </c>
      <c r="F490" s="7" t="n">
        <v>-22.004879</v>
      </c>
      <c r="G490" s="7" t="n">
        <v>-46.11485165</v>
      </c>
      <c r="H490" s="8" t="n">
        <v>68.267</v>
      </c>
      <c r="I490" s="6" t="inlineStr">
        <is>
          <t>BAIXO</t>
        </is>
      </c>
      <c r="J490" s="6" t="inlineStr">
        <is>
          <t>swine</t>
        </is>
      </c>
      <c r="K490" s="6" t="n">
        <v>9</v>
      </c>
    </row>
    <row r="491">
      <c r="A491" s="6" t="inlineStr">
        <is>
          <t>3123809</t>
        </is>
      </c>
      <c r="B491" s="6" t="inlineStr">
        <is>
          <t>3123809</t>
        </is>
      </c>
      <c r="C491" s="4" t="inlineStr">
        <is>
          <t>Montes Claros</t>
        </is>
      </c>
      <c r="D491" s="16" t="n">
        <v>6354</v>
      </c>
      <c r="E491" s="8" t="n">
        <v>608.306</v>
      </c>
      <c r="F491" s="7" t="n">
        <v>-17.298013</v>
      </c>
      <c r="G491" s="7" t="n">
        <v>-44.00224871</v>
      </c>
      <c r="H491" s="8" t="n">
        <v>68.1626</v>
      </c>
      <c r="I491" s="6" t="inlineStr">
        <is>
          <t>BAIXO</t>
        </is>
      </c>
      <c r="J491" s="6" t="inlineStr">
        <is>
          <t>swine</t>
        </is>
      </c>
      <c r="K491" s="6" t="n">
        <v>11</v>
      </c>
    </row>
    <row r="492">
      <c r="A492" s="6" t="inlineStr">
        <is>
          <t>3134301</t>
        </is>
      </c>
      <c r="B492" s="6" t="inlineStr">
        <is>
          <t>3134301</t>
        </is>
      </c>
      <c r="C492" s="4" t="inlineStr">
        <is>
          <t>Varginha</t>
        </is>
      </c>
      <c r="D492" s="16" t="n">
        <v>6638</v>
      </c>
      <c r="E492" s="8" t="n">
        <v>234.802</v>
      </c>
      <c r="F492" s="7" t="n">
        <v>-21.28024915</v>
      </c>
      <c r="G492" s="7" t="n">
        <v>-44.81705158</v>
      </c>
      <c r="H492" s="8" t="n">
        <v>67.5492</v>
      </c>
      <c r="I492" s="6" t="inlineStr">
        <is>
          <t>BAIXO</t>
        </is>
      </c>
      <c r="J492" s="6" t="inlineStr">
        <is>
          <t>swine</t>
        </is>
      </c>
      <c r="K492" s="6" t="n">
        <v>11</v>
      </c>
    </row>
    <row r="493">
      <c r="A493" s="6" t="inlineStr">
        <is>
          <t>3129806</t>
        </is>
      </c>
      <c r="B493" s="6" t="inlineStr">
        <is>
          <t>3129806</t>
        </is>
      </c>
      <c r="C493" s="4" t="inlineStr">
        <is>
          <t>Belo Horizonte</t>
        </is>
      </c>
      <c r="D493" s="16" t="n">
        <v>170537</v>
      </c>
      <c r="E493" s="8" t="n">
        <v>72.389</v>
      </c>
      <c r="F493" s="7" t="n">
        <v>-20.02258715</v>
      </c>
      <c r="G493" s="7" t="n">
        <v>-44.07377345</v>
      </c>
      <c r="H493" s="8" t="n">
        <v>67.24299999999999</v>
      </c>
      <c r="I493" s="6" t="inlineStr">
        <is>
          <t>BAIXO</t>
        </is>
      </c>
      <c r="J493" s="6" t="inlineStr">
        <is>
          <t>rsu_organic</t>
        </is>
      </c>
      <c r="K493" s="6" t="n">
        <v>8</v>
      </c>
    </row>
    <row r="494">
      <c r="A494" s="6" t="inlineStr">
        <is>
          <t>3106804</t>
        </is>
      </c>
      <c r="B494" s="6" t="inlineStr">
        <is>
          <t>3106804</t>
        </is>
      </c>
      <c r="C494" s="4" t="inlineStr">
        <is>
          <t>Juíz de Fora</t>
        </is>
      </c>
      <c r="D494" s="16" t="n">
        <v>3361</v>
      </c>
      <c r="E494" s="8" t="n">
        <v>283.535</v>
      </c>
      <c r="F494" s="7" t="n">
        <v>-21.619919</v>
      </c>
      <c r="G494" s="7" t="n">
        <v>-43.75546572</v>
      </c>
      <c r="H494" s="8" t="n">
        <v>67.17870000000001</v>
      </c>
      <c r="I494" s="6" t="inlineStr">
        <is>
          <t>BAIXO</t>
        </is>
      </c>
      <c r="J494" s="6" t="inlineStr">
        <is>
          <t>swine</t>
        </is>
      </c>
      <c r="K494" s="6" t="n">
        <v>7</v>
      </c>
    </row>
    <row r="495">
      <c r="A495" s="6" t="inlineStr">
        <is>
          <t>3116506</t>
        </is>
      </c>
      <c r="B495" s="6" t="inlineStr">
        <is>
          <t>3116506</t>
        </is>
      </c>
      <c r="C495" s="4" t="inlineStr">
        <is>
          <t>Montes Claros</t>
        </is>
      </c>
      <c r="D495" s="16" t="n">
        <v>7166</v>
      </c>
      <c r="E495" s="8" t="n">
        <v>720.424</v>
      </c>
      <c r="F495" s="7" t="n">
        <v>-17.056865</v>
      </c>
      <c r="G495" s="7" t="n">
        <v>-44.26280512</v>
      </c>
      <c r="H495" s="8" t="n">
        <v>67.1254</v>
      </c>
      <c r="I495" s="6" t="inlineStr">
        <is>
          <t>BAIXO</t>
        </is>
      </c>
      <c r="J495" s="6" t="inlineStr">
        <is>
          <t>swine</t>
        </is>
      </c>
      <c r="K495" s="6" t="n">
        <v>8</v>
      </c>
    </row>
    <row r="496">
      <c r="A496" s="6" t="inlineStr">
        <is>
          <t>3159506</t>
        </is>
      </c>
      <c r="B496" s="6" t="inlineStr">
        <is>
          <t>3159506</t>
        </is>
      </c>
      <c r="C496" s="4" t="inlineStr">
        <is>
          <t>Governador Valadares</t>
        </is>
      </c>
      <c r="D496" s="16" t="n">
        <v>5826</v>
      </c>
      <c r="E496" s="8" t="n">
        <v>485.081</v>
      </c>
      <c r="F496" s="7" t="n">
        <v>-19.4063795</v>
      </c>
      <c r="G496" s="7" t="n">
        <v>-41.38236813</v>
      </c>
      <c r="H496" s="8" t="n">
        <v>66.92570000000001</v>
      </c>
      <c r="I496" s="6" t="inlineStr">
        <is>
          <t>BAIXO</t>
        </is>
      </c>
      <c r="J496" s="6" t="inlineStr">
        <is>
          <t>coffee</t>
        </is>
      </c>
      <c r="K496" s="6" t="n">
        <v>7</v>
      </c>
    </row>
    <row r="497">
      <c r="A497" s="6" t="inlineStr">
        <is>
          <t>3153202</t>
        </is>
      </c>
      <c r="B497" s="6" t="inlineStr">
        <is>
          <t>3153202</t>
        </is>
      </c>
      <c r="C497" s="4" t="inlineStr">
        <is>
          <t>Belo Horizonte</t>
        </is>
      </c>
      <c r="D497" s="16" t="n">
        <v>3465</v>
      </c>
      <c r="E497" s="8" t="n">
        <v>695.8819999999999</v>
      </c>
      <c r="F497" s="7" t="n">
        <v>-18.7131045</v>
      </c>
      <c r="G497" s="7" t="n">
        <v>-44.073754</v>
      </c>
      <c r="H497" s="8" t="n">
        <v>66.7299</v>
      </c>
      <c r="I497" s="6" t="inlineStr">
        <is>
          <t>BAIXO</t>
        </is>
      </c>
      <c r="J497" s="6" t="inlineStr">
        <is>
          <t>swine</t>
        </is>
      </c>
      <c r="K497" s="6" t="n">
        <v>8</v>
      </c>
    </row>
    <row r="498">
      <c r="A498" s="6" t="inlineStr">
        <is>
          <t>3128402</t>
        </is>
      </c>
      <c r="B498" s="6" t="inlineStr">
        <is>
          <t>3128402</t>
        </is>
      </c>
      <c r="C498" s="4" t="inlineStr">
        <is>
          <t>Juíz de Fora</t>
        </is>
      </c>
      <c r="D498" s="16" t="n">
        <v>7714</v>
      </c>
      <c r="E498" s="8" t="n">
        <v>264.194</v>
      </c>
      <c r="F498" s="7" t="n">
        <v>-21.365692</v>
      </c>
      <c r="G498" s="7" t="n">
        <v>-43.05258216</v>
      </c>
      <c r="H498" s="8" t="n">
        <v>66.6942</v>
      </c>
      <c r="I498" s="6" t="inlineStr">
        <is>
          <t>BAIXO</t>
        </is>
      </c>
      <c r="J498" s="6" t="inlineStr">
        <is>
          <t>swine</t>
        </is>
      </c>
      <c r="K498" s="6" t="n">
        <v>9</v>
      </c>
    </row>
    <row r="499">
      <c r="A499" s="6" t="inlineStr">
        <is>
          <t>3159704</t>
        </is>
      </c>
      <c r="B499" s="6" t="inlineStr">
        <is>
          <t>3159704</t>
        </is>
      </c>
      <c r="C499" s="4" t="inlineStr">
        <is>
          <t>Uberaba</t>
        </is>
      </c>
      <c r="D499" s="16" t="n">
        <v>3382</v>
      </c>
      <c r="E499" s="8" t="n">
        <v>284.334</v>
      </c>
      <c r="F499" s="7" t="n">
        <v>-19.556861</v>
      </c>
      <c r="G499" s="7" t="n">
        <v>-46.03138687</v>
      </c>
      <c r="H499" s="8" t="n">
        <v>66.4083</v>
      </c>
      <c r="I499" s="6" t="inlineStr">
        <is>
          <t>BAIXO</t>
        </is>
      </c>
      <c r="J499" s="6" t="inlineStr">
        <is>
          <t>swine</t>
        </is>
      </c>
      <c r="K499" s="6" t="n">
        <v>8</v>
      </c>
    </row>
    <row r="500">
      <c r="A500" s="6" t="inlineStr">
        <is>
          <t>3155801</t>
        </is>
      </c>
      <c r="B500" s="6" t="inlineStr">
        <is>
          <t>3155801</t>
        </is>
      </c>
      <c r="C500" s="4" t="inlineStr">
        <is>
          <t>Juíz de Fora</t>
        </is>
      </c>
      <c r="D500" s="16" t="n">
        <v>17443</v>
      </c>
      <c r="E500" s="8" t="n">
        <v>252.418</v>
      </c>
      <c r="F500" s="7" t="n">
        <v>-21.2337865</v>
      </c>
      <c r="G500" s="7" t="n">
        <v>-43.18257966</v>
      </c>
      <c r="H500" s="8" t="n">
        <v>66.33969999999999</v>
      </c>
      <c r="I500" s="6" t="inlineStr">
        <is>
          <t>BAIXO</t>
        </is>
      </c>
      <c r="J500" s="6" t="inlineStr">
        <is>
          <t>swine</t>
        </is>
      </c>
      <c r="K500" s="6" t="n">
        <v>8</v>
      </c>
    </row>
    <row r="501">
      <c r="A501" s="6" t="inlineStr">
        <is>
          <t>3146552</t>
        </is>
      </c>
      <c r="B501" s="6" t="inlineStr">
        <is>
          <t>3146552</t>
        </is>
      </c>
      <c r="C501" s="4" t="inlineStr">
        <is>
          <t>Montes Claros</t>
        </is>
      </c>
      <c r="D501" s="16" t="n">
        <v>5551</v>
      </c>
      <c r="E501" s="8" t="n">
        <v>839.8049999999999</v>
      </c>
      <c r="F501" s="7" t="n">
        <v>-15.3494355</v>
      </c>
      <c r="G501" s="7" t="n">
        <v>-43.21572399</v>
      </c>
      <c r="H501" s="8" t="n">
        <v>65.9044</v>
      </c>
      <c r="I501" s="6" t="inlineStr">
        <is>
          <t>BAIXO</t>
        </is>
      </c>
      <c r="J501" s="6" t="inlineStr">
        <is>
          <t>swine</t>
        </is>
      </c>
      <c r="K501" s="6" t="n">
        <v>6</v>
      </c>
    </row>
    <row r="502">
      <c r="A502" s="6" t="inlineStr">
        <is>
          <t>3104106</t>
        </is>
      </c>
      <c r="B502" s="6" t="inlineStr">
        <is>
          <t>3104106</t>
        </is>
      </c>
      <c r="C502" s="4" t="inlineStr">
        <is>
          <t>Varginha</t>
        </is>
      </c>
      <c r="D502" s="16" t="n">
        <v>9177</v>
      </c>
      <c r="E502" s="8" t="n">
        <v>162.875</v>
      </c>
      <c r="F502" s="7" t="n">
        <v>-21.352493</v>
      </c>
      <c r="G502" s="7" t="n">
        <v>-46.93957016</v>
      </c>
      <c r="H502" s="8" t="n">
        <v>65.26179999999999</v>
      </c>
      <c r="I502" s="6" t="inlineStr">
        <is>
          <t>BAIXO</t>
        </is>
      </c>
      <c r="J502" s="6" t="inlineStr">
        <is>
          <t>sugarcane</t>
        </is>
      </c>
      <c r="K502" s="6" t="n">
        <v>12</v>
      </c>
    </row>
    <row r="503">
      <c r="A503" s="6" t="inlineStr">
        <is>
          <t>3147303</t>
        </is>
      </c>
      <c r="B503" s="6" t="inlineStr">
        <is>
          <t>3147303</t>
        </is>
      </c>
      <c r="C503" s="4" t="inlineStr">
        <is>
          <t>Pouso Alegre</t>
        </is>
      </c>
      <c r="D503" s="16" t="n">
        <v>20445</v>
      </c>
      <c r="E503" s="8" t="n">
        <v>331.238</v>
      </c>
      <c r="F503" s="7" t="n">
        <v>-22.5801905</v>
      </c>
      <c r="G503" s="7" t="n">
        <v>-45.80637598</v>
      </c>
      <c r="H503" s="8" t="n">
        <v>65.05459999999999</v>
      </c>
      <c r="I503" s="6" t="inlineStr">
        <is>
          <t>BAIXO</t>
        </is>
      </c>
      <c r="J503" s="6" t="inlineStr">
        <is>
          <t>swine</t>
        </is>
      </c>
      <c r="K503" s="6" t="n">
        <v>11</v>
      </c>
    </row>
    <row r="504">
      <c r="A504" s="6" t="inlineStr">
        <is>
          <t>3160801</t>
        </is>
      </c>
      <c r="B504" s="6" t="inlineStr">
        <is>
          <t>3160801</t>
        </is>
      </c>
      <c r="C504" s="4" t="inlineStr">
        <is>
          <t>Varginha</t>
        </is>
      </c>
      <c r="D504" s="16" t="n">
        <v>4713</v>
      </c>
      <c r="E504" s="8" t="n">
        <v>80.40300000000001</v>
      </c>
      <c r="F504" s="7" t="n">
        <v>-21.5655425</v>
      </c>
      <c r="G504" s="7" t="n">
        <v>-45.07671915</v>
      </c>
      <c r="H504" s="8" t="n">
        <v>64.9029</v>
      </c>
      <c r="I504" s="6" t="inlineStr">
        <is>
          <t>BAIXO</t>
        </is>
      </c>
      <c r="J504" s="6" t="inlineStr">
        <is>
          <t>corn</t>
        </is>
      </c>
      <c r="K504" s="6" t="n">
        <v>10</v>
      </c>
    </row>
    <row r="505">
      <c r="A505" s="6" t="inlineStr">
        <is>
          <t>3121407</t>
        </is>
      </c>
      <c r="B505" s="6" t="inlineStr">
        <is>
          <t>3121407</t>
        </is>
      </c>
      <c r="C505" s="4" t="inlineStr">
        <is>
          <t>Barbacena</t>
        </is>
      </c>
      <c r="D505" s="16" t="n">
        <v>7653</v>
      </c>
      <c r="E505" s="8" t="n">
        <v>377.165</v>
      </c>
      <c r="F505" s="7" t="n">
        <v>-20.6359595</v>
      </c>
      <c r="G505" s="7" t="n">
        <v>-44.25568866</v>
      </c>
      <c r="H505" s="8" t="n">
        <v>64.7911</v>
      </c>
      <c r="I505" s="6" t="inlineStr">
        <is>
          <t>BAIXO</t>
        </is>
      </c>
      <c r="J505" s="6" t="inlineStr">
        <is>
          <t>swine</t>
        </is>
      </c>
      <c r="K505" s="6" t="n">
        <v>9</v>
      </c>
    </row>
    <row r="506">
      <c r="A506" s="6" t="inlineStr">
        <is>
          <t>3147808</t>
        </is>
      </c>
      <c r="B506" s="6" t="inlineStr">
        <is>
          <t>3147808</t>
        </is>
      </c>
      <c r="C506" s="4" t="inlineStr">
        <is>
          <t>Juíz de Fora</t>
        </is>
      </c>
      <c r="D506" s="16" t="n">
        <v>2233</v>
      </c>
      <c r="E506" s="8" t="n">
        <v>246.565</v>
      </c>
      <c r="F506" s="7" t="n">
        <v>-22.168792</v>
      </c>
      <c r="G506" s="7" t="n">
        <v>-44.26083112</v>
      </c>
      <c r="H506" s="8" t="n">
        <v>64.5574</v>
      </c>
      <c r="I506" s="6" t="inlineStr">
        <is>
          <t>BAIXO</t>
        </is>
      </c>
      <c r="J506" s="6" t="inlineStr">
        <is>
          <t>swine</t>
        </is>
      </c>
      <c r="K506" s="6" t="n">
        <v>8</v>
      </c>
    </row>
    <row r="507">
      <c r="A507" s="6" t="inlineStr">
        <is>
          <t>3166303</t>
        </is>
      </c>
      <c r="B507" s="6" t="inlineStr">
        <is>
          <t>3166303</t>
        </is>
      </c>
      <c r="C507" s="4" t="inlineStr">
        <is>
          <t>Juíz de Fora</t>
        </is>
      </c>
      <c r="D507" s="16" t="n">
        <v>7345</v>
      </c>
      <c r="E507" s="8" t="n">
        <v>166.012</v>
      </c>
      <c r="F507" s="7" t="n">
        <v>-20.494251</v>
      </c>
      <c r="G507" s="7" t="n">
        <v>-42.44964515</v>
      </c>
      <c r="H507" s="8" t="n">
        <v>64.0835</v>
      </c>
      <c r="I507" s="6" t="inlineStr">
        <is>
          <t>BAIXO</t>
        </is>
      </c>
      <c r="J507" s="6" t="inlineStr">
        <is>
          <t>swine</t>
        </is>
      </c>
      <c r="K507" s="6" t="n">
        <v>8</v>
      </c>
    </row>
    <row r="508">
      <c r="A508" s="6" t="inlineStr">
        <is>
          <t>3158201</t>
        </is>
      </c>
      <c r="B508" s="6" t="inlineStr">
        <is>
          <t>3158201</t>
        </is>
      </c>
      <c r="C508" s="4" t="inlineStr">
        <is>
          <t>Governador Valadares</t>
        </is>
      </c>
      <c r="D508" s="16" t="n">
        <v>12788</v>
      </c>
      <c r="E508" s="8" t="n">
        <v>624.047</v>
      </c>
      <c r="F508" s="7" t="n">
        <v>-18.208134</v>
      </c>
      <c r="G508" s="7" t="n">
        <v>-42.36261019</v>
      </c>
      <c r="H508" s="8" t="n">
        <v>64.0733</v>
      </c>
      <c r="I508" s="6" t="inlineStr">
        <is>
          <t>BAIXO</t>
        </is>
      </c>
      <c r="J508" s="6" t="inlineStr">
        <is>
          <t>swine</t>
        </is>
      </c>
      <c r="K508" s="6" t="n">
        <v>9</v>
      </c>
    </row>
    <row r="509">
      <c r="A509" s="6" t="inlineStr">
        <is>
          <t>3130556</t>
        </is>
      </c>
      <c r="B509" s="6" t="inlineStr">
        <is>
          <t>3130556</t>
        </is>
      </c>
      <c r="C509" s="4" t="inlineStr">
        <is>
          <t>Ipatinga</t>
        </is>
      </c>
      <c r="D509" s="16" t="n">
        <v>6986</v>
      </c>
      <c r="E509" s="8" t="n">
        <v>196.735</v>
      </c>
      <c r="F509" s="7" t="n">
        <v>-19.6360665</v>
      </c>
      <c r="G509" s="7" t="n">
        <v>-41.9495901</v>
      </c>
      <c r="H509" s="8" t="n">
        <v>63.9356</v>
      </c>
      <c r="I509" s="6" t="inlineStr">
        <is>
          <t>BAIXO</t>
        </is>
      </c>
      <c r="J509" s="6" t="inlineStr">
        <is>
          <t>forestry</t>
        </is>
      </c>
      <c r="K509" s="6" t="n">
        <v>9</v>
      </c>
    </row>
    <row r="510">
      <c r="A510" s="6" t="inlineStr">
        <is>
          <t>3168408</t>
        </is>
      </c>
      <c r="B510" s="6" t="inlineStr">
        <is>
          <t>3168408</t>
        </is>
      </c>
      <c r="C510" s="4" t="inlineStr">
        <is>
          <t>Governador Valadares</t>
        </is>
      </c>
      <c r="D510" s="16" t="n">
        <v>14709</v>
      </c>
      <c r="E510" s="8" t="n">
        <v>731.753</v>
      </c>
      <c r="F510" s="7" t="n">
        <v>-19.2882375</v>
      </c>
      <c r="G510" s="7" t="n">
        <v>-41.89331865</v>
      </c>
      <c r="H510" s="8" t="n">
        <v>63.633</v>
      </c>
      <c r="I510" s="6" t="inlineStr">
        <is>
          <t>BAIXO</t>
        </is>
      </c>
      <c r="J510" s="6" t="inlineStr">
        <is>
          <t>swine</t>
        </is>
      </c>
      <c r="K510" s="6" t="n">
        <v>8</v>
      </c>
    </row>
    <row r="511">
      <c r="A511" s="6" t="inlineStr">
        <is>
          <t>3137809</t>
        </is>
      </c>
      <c r="B511" s="6" t="inlineStr">
        <is>
          <t>3137809</t>
        </is>
      </c>
      <c r="C511" s="4" t="inlineStr">
        <is>
          <t>Pouso Alegre</t>
        </is>
      </c>
      <c r="D511" s="16" t="n">
        <v>20414</v>
      </c>
      <c r="E511" s="8" t="n">
        <v>213.11</v>
      </c>
      <c r="F511" s="7" t="n">
        <v>-21.9949735</v>
      </c>
      <c r="G511" s="7" t="n">
        <v>-45.39935006</v>
      </c>
      <c r="H511" s="8" t="n">
        <v>63.4201</v>
      </c>
      <c r="I511" s="6" t="inlineStr">
        <is>
          <t>BAIXO</t>
        </is>
      </c>
      <c r="J511" s="6" t="inlineStr">
        <is>
          <t>swine</t>
        </is>
      </c>
      <c r="K511" s="6" t="n">
        <v>10</v>
      </c>
    </row>
    <row r="512">
      <c r="A512" s="6" t="inlineStr">
        <is>
          <t>3116001</t>
        </is>
      </c>
      <c r="B512" s="6" t="inlineStr">
        <is>
          <t>3116001</t>
        </is>
      </c>
      <c r="C512" s="4" t="inlineStr">
        <is>
          <t>Juíz de Fora</t>
        </is>
      </c>
      <c r="D512" s="16" t="n">
        <v>6075</v>
      </c>
      <c r="E512" s="8" t="n">
        <v>212.674</v>
      </c>
      <c r="F512" s="7" t="n">
        <v>-20.022857</v>
      </c>
      <c r="G512" s="7" t="n">
        <v>-41.6523277</v>
      </c>
      <c r="H512" s="8" t="n">
        <v>63.3639</v>
      </c>
      <c r="I512" s="6" t="inlineStr">
        <is>
          <t>BAIXO</t>
        </is>
      </c>
      <c r="J512" s="6" t="inlineStr">
        <is>
          <t>swine</t>
        </is>
      </c>
      <c r="K512" s="6" t="n">
        <v>9</v>
      </c>
    </row>
    <row r="513">
      <c r="A513" s="6" t="inlineStr">
        <is>
          <t>3108909</t>
        </is>
      </c>
      <c r="B513" s="6" t="inlineStr">
        <is>
          <t>3108909</t>
        </is>
      </c>
      <c r="C513" s="4" t="inlineStr">
        <is>
          <t>Pouso Alegre</t>
        </is>
      </c>
      <c r="D513" s="16" t="n">
        <v>14246</v>
      </c>
      <c r="E513" s="8" t="n">
        <v>367.688</v>
      </c>
      <c r="F513" s="7" t="n">
        <v>-22.4906405</v>
      </c>
      <c r="G513" s="7" t="n">
        <v>-45.62356774</v>
      </c>
      <c r="H513" s="8" t="n">
        <v>63.0626</v>
      </c>
      <c r="I513" s="6" t="inlineStr">
        <is>
          <t>BAIXO</t>
        </is>
      </c>
      <c r="J513" s="6" t="inlineStr">
        <is>
          <t>swine</t>
        </is>
      </c>
      <c r="K513" s="6" t="n">
        <v>11</v>
      </c>
    </row>
    <row r="514">
      <c r="A514" s="6" t="inlineStr">
        <is>
          <t>3145356</t>
        </is>
      </c>
      <c r="B514" s="6" t="inlineStr">
        <is>
          <t>3145356</t>
        </is>
      </c>
      <c r="C514" s="4" t="inlineStr">
        <is>
          <t>Teófilo Otoni</t>
        </is>
      </c>
      <c r="D514" s="16" t="n">
        <v>10275</v>
      </c>
      <c r="E514" s="8" t="n">
        <v>755.151</v>
      </c>
      <c r="F514" s="7" t="n">
        <v>-17.240211</v>
      </c>
      <c r="G514" s="7" t="n">
        <v>-41.26538273</v>
      </c>
      <c r="H514" s="8" t="n">
        <v>63.0354</v>
      </c>
      <c r="I514" s="6" t="inlineStr">
        <is>
          <t>BAIXO</t>
        </is>
      </c>
      <c r="J514" s="6" t="inlineStr">
        <is>
          <t>swine</t>
        </is>
      </c>
      <c r="K514" s="6" t="n">
        <v>8</v>
      </c>
    </row>
    <row r="515">
      <c r="A515" s="6" t="inlineStr">
        <is>
          <t>3108305</t>
        </is>
      </c>
      <c r="B515" s="6" t="inlineStr">
        <is>
          <t>3108305</t>
        </is>
      </c>
      <c r="C515" s="4" t="inlineStr">
        <is>
          <t>Pouso Alegre</t>
        </is>
      </c>
      <c r="D515" s="16" t="n">
        <v>17404</v>
      </c>
      <c r="E515" s="8" t="n">
        <v>301.108</v>
      </c>
      <c r="F515" s="7" t="n">
        <v>-22.254036</v>
      </c>
      <c r="G515" s="7" t="n">
        <v>-46.14453325</v>
      </c>
      <c r="H515" s="8" t="n">
        <v>62.637</v>
      </c>
      <c r="I515" s="6" t="inlineStr">
        <is>
          <t>BAIXO</t>
        </is>
      </c>
      <c r="J515" s="6" t="inlineStr">
        <is>
          <t>swine</t>
        </is>
      </c>
      <c r="K515" s="6" t="n">
        <v>12</v>
      </c>
    </row>
    <row r="516">
      <c r="A516" s="6" t="inlineStr">
        <is>
          <t>3125101</t>
        </is>
      </c>
      <c r="B516" s="6" t="inlineStr">
        <is>
          <t>3125101</t>
        </is>
      </c>
      <c r="C516" s="4" t="inlineStr">
        <is>
          <t>Pouso Alegre</t>
        </is>
      </c>
      <c r="D516" s="16" t="n">
        <v>53482</v>
      </c>
      <c r="E516" s="8" t="n">
        <v>244.575</v>
      </c>
      <c r="F516" s="7" t="n">
        <v>-22.81202115</v>
      </c>
      <c r="G516" s="7" t="n">
        <v>-46.29531712</v>
      </c>
      <c r="H516" s="8" t="n">
        <v>62.6188</v>
      </c>
      <c r="I516" s="6" t="inlineStr">
        <is>
          <t>BAIXO</t>
        </is>
      </c>
      <c r="J516" s="6" t="inlineStr">
        <is>
          <t>swine</t>
        </is>
      </c>
      <c r="K516" s="6" t="n">
        <v>10</v>
      </c>
    </row>
    <row r="517">
      <c r="A517" s="6" t="inlineStr">
        <is>
          <t>3152402</t>
        </is>
      </c>
      <c r="B517" s="6" t="inlineStr">
        <is>
          <t>3152402</t>
        </is>
      </c>
      <c r="C517" s="4" t="inlineStr">
        <is>
          <t>Teófilo Otoni</t>
        </is>
      </c>
      <c r="D517" s="16" t="n">
        <v>13666</v>
      </c>
      <c r="E517" s="8" t="n">
        <v>625.111</v>
      </c>
      <c r="F517" s="7" t="n">
        <v>-17.806391</v>
      </c>
      <c r="G517" s="7" t="n">
        <v>-41.75993552</v>
      </c>
      <c r="H517" s="8" t="n">
        <v>61.9935</v>
      </c>
      <c r="I517" s="6" t="inlineStr">
        <is>
          <t>BAIXO</t>
        </is>
      </c>
      <c r="J517" s="6" t="inlineStr">
        <is>
          <t>swine</t>
        </is>
      </c>
      <c r="K517" s="6" t="n">
        <v>10</v>
      </c>
    </row>
    <row r="518">
      <c r="A518" s="6" t="inlineStr">
        <is>
          <t>3159001</t>
        </is>
      </c>
      <c r="B518" s="6" t="inlineStr">
        <is>
          <t>3159001</t>
        </is>
      </c>
      <c r="C518" s="4" t="inlineStr">
        <is>
          <t>Belo Horizonte</t>
        </is>
      </c>
      <c r="D518" s="16" t="n">
        <v>5313</v>
      </c>
      <c r="E518" s="8" t="n">
        <v>677.207</v>
      </c>
      <c r="F518" s="7" t="n">
        <v>-19.1821615</v>
      </c>
      <c r="G518" s="7" t="n">
        <v>-43.6366222</v>
      </c>
      <c r="H518" s="8" t="n">
        <v>61.9421</v>
      </c>
      <c r="I518" s="6" t="inlineStr">
        <is>
          <t>BAIXO</t>
        </is>
      </c>
      <c r="J518" s="6" t="inlineStr">
        <is>
          <t>swine</t>
        </is>
      </c>
      <c r="K518" s="6" t="n">
        <v>8</v>
      </c>
    </row>
    <row r="519">
      <c r="A519" s="6" t="inlineStr">
        <is>
          <t>3171709</t>
        </is>
      </c>
      <c r="B519" s="6" t="inlineStr">
        <is>
          <t>3171709</t>
        </is>
      </c>
      <c r="C519" s="4" t="inlineStr">
        <is>
          <t>Pouso Alegre</t>
        </is>
      </c>
      <c r="D519" s="16" t="n">
        <v>8908</v>
      </c>
      <c r="E519" s="8" t="n">
        <v>326.515</v>
      </c>
      <c r="F519" s="7" t="n">
        <v>-22.345401</v>
      </c>
      <c r="G519" s="7" t="n">
        <v>-45.11663268</v>
      </c>
      <c r="H519" s="8" t="n">
        <v>61.301</v>
      </c>
      <c r="I519" s="6" t="inlineStr">
        <is>
          <t>BAIXO</t>
        </is>
      </c>
      <c r="J519" s="6" t="inlineStr">
        <is>
          <t>swine</t>
        </is>
      </c>
      <c r="K519" s="6" t="n">
        <v>11</v>
      </c>
    </row>
    <row r="520">
      <c r="A520" s="6" t="inlineStr">
        <is>
          <t>3121803</t>
        </is>
      </c>
      <c r="B520" s="6" t="inlineStr">
        <is>
          <t>3121803</t>
        </is>
      </c>
      <c r="C520" s="4" t="inlineStr">
        <is>
          <t>Ipatinga</t>
        </is>
      </c>
      <c r="D520" s="16" t="n">
        <v>6847</v>
      </c>
      <c r="E520" s="8" t="n">
        <v>339.375</v>
      </c>
      <c r="F520" s="7" t="n">
        <v>-19.8316945</v>
      </c>
      <c r="G520" s="7" t="n">
        <v>-42.67335056</v>
      </c>
      <c r="H520" s="8" t="n">
        <v>61.2568</v>
      </c>
      <c r="I520" s="6" t="inlineStr">
        <is>
          <t>BAIXO</t>
        </is>
      </c>
      <c r="J520" s="6" t="inlineStr">
        <is>
          <t>forestry</t>
        </is>
      </c>
      <c r="K520" s="6" t="n">
        <v>8</v>
      </c>
    </row>
    <row r="521">
      <c r="A521" s="6" t="inlineStr">
        <is>
          <t>3108701</t>
        </is>
      </c>
      <c r="B521" s="6" t="inlineStr">
        <is>
          <t>3108701</t>
        </is>
      </c>
      <c r="C521" s="4" t="inlineStr">
        <is>
          <t>Juíz de Fora</t>
        </is>
      </c>
      <c r="D521" s="16" t="n">
        <v>4260</v>
      </c>
      <c r="E521" s="8" t="n">
        <v>223.351</v>
      </c>
      <c r="F521" s="7" t="n">
        <v>-20.881639</v>
      </c>
      <c r="G521" s="7" t="n">
        <v>-43.22597593</v>
      </c>
      <c r="H521" s="8" t="n">
        <v>61.2472</v>
      </c>
      <c r="I521" s="6" t="inlineStr">
        <is>
          <t>BAIXO</t>
        </is>
      </c>
      <c r="J521" s="6" t="inlineStr">
        <is>
          <t>swine</t>
        </is>
      </c>
      <c r="K521" s="6" t="n">
        <v>8</v>
      </c>
    </row>
    <row r="522">
      <c r="A522" s="6" t="inlineStr">
        <is>
          <t>3162559</t>
        </is>
      </c>
      <c r="B522" s="6" t="inlineStr">
        <is>
          <t>3162559</t>
        </is>
      </c>
      <c r="C522" s="4" t="inlineStr">
        <is>
          <t>Juíz de Fora</t>
        </is>
      </c>
      <c r="D522" s="16" t="n">
        <v>11246</v>
      </c>
      <c r="E522" s="8" t="n">
        <v>143.096</v>
      </c>
      <c r="F522" s="7" t="n">
        <v>-20.3785075</v>
      </c>
      <c r="G522" s="7" t="n">
        <v>-42.15236364</v>
      </c>
      <c r="H522" s="8" t="n">
        <v>61.2187</v>
      </c>
      <c r="I522" s="6" t="inlineStr">
        <is>
          <t>BAIXO</t>
        </is>
      </c>
      <c r="J522" s="6" t="inlineStr">
        <is>
          <t>swine</t>
        </is>
      </c>
      <c r="K522" s="6" t="n">
        <v>9</v>
      </c>
    </row>
    <row r="523">
      <c r="A523" s="6" t="inlineStr">
        <is>
          <t>3126752</t>
        </is>
      </c>
      <c r="B523" s="6" t="inlineStr">
        <is>
          <t>3126752</t>
        </is>
      </c>
      <c r="C523" s="4" t="inlineStr">
        <is>
          <t>Teófilo Otoni</t>
        </is>
      </c>
      <c r="D523" s="16" t="n">
        <v>5034</v>
      </c>
      <c r="E523" s="8" t="n">
        <v>717.087</v>
      </c>
      <c r="F523" s="7" t="n">
        <v>-17.9985035</v>
      </c>
      <c r="G523" s="7" t="n">
        <v>-41.98147931</v>
      </c>
      <c r="H523" s="8" t="n">
        <v>60.7019</v>
      </c>
      <c r="I523" s="6" t="inlineStr">
        <is>
          <t>BAIXO</t>
        </is>
      </c>
      <c r="J523" s="6" t="inlineStr">
        <is>
          <t>swine</t>
        </is>
      </c>
      <c r="K523" s="6" t="n">
        <v>10</v>
      </c>
    </row>
    <row r="524">
      <c r="A524" s="6" t="inlineStr">
        <is>
          <t>3124401</t>
        </is>
      </c>
      <c r="B524" s="6" t="inlineStr">
        <is>
          <t>3124401</t>
        </is>
      </c>
      <c r="C524" s="4" t="inlineStr">
        <is>
          <t>Pouso Alegre</t>
        </is>
      </c>
      <c r="D524" s="16" t="n">
        <v>6611</v>
      </c>
      <c r="E524" s="8" t="n">
        <v>263.879</v>
      </c>
      <c r="F524" s="7" t="n">
        <v>-21.998489</v>
      </c>
      <c r="G524" s="7" t="n">
        <v>-45.97760843</v>
      </c>
      <c r="H524" s="8" t="n">
        <v>60.5382</v>
      </c>
      <c r="I524" s="6" t="inlineStr">
        <is>
          <t>BAIXO</t>
        </is>
      </c>
      <c r="J524" s="6" t="inlineStr">
        <is>
          <t>swine</t>
        </is>
      </c>
      <c r="K524" s="6" t="n">
        <v>11</v>
      </c>
    </row>
    <row r="525">
      <c r="A525" s="6" t="inlineStr">
        <is>
          <t>3133303</t>
        </is>
      </c>
      <c r="B525" s="6" t="inlineStr">
        <is>
          <t>3133303</t>
        </is>
      </c>
      <c r="C525" s="4" t="inlineStr">
        <is>
          <t>Teófilo Otoni</t>
        </is>
      </c>
      <c r="D525" s="16" t="n">
        <v>19151</v>
      </c>
      <c r="E525" s="8" t="n">
        <v>679.024</v>
      </c>
      <c r="F525" s="7" t="n">
        <v>-16.5776945</v>
      </c>
      <c r="G525" s="7" t="n">
        <v>-41.52612251</v>
      </c>
      <c r="H525" s="8" t="n">
        <v>60.5177</v>
      </c>
      <c r="I525" s="6" t="inlineStr">
        <is>
          <t>BAIXO</t>
        </is>
      </c>
      <c r="J525" s="6" t="inlineStr">
        <is>
          <t>swine</t>
        </is>
      </c>
      <c r="K525" s="6" t="n">
        <v>9</v>
      </c>
    </row>
    <row r="526">
      <c r="A526" s="6" t="inlineStr">
        <is>
          <t>3147600</t>
        </is>
      </c>
      <c r="B526" s="6" t="inlineStr">
        <is>
          <t>3147600</t>
        </is>
      </c>
      <c r="C526" s="4" t="inlineStr">
        <is>
          <t>Pouso Alegre</t>
        </is>
      </c>
      <c r="D526" s="16" t="n">
        <v>15515</v>
      </c>
      <c r="E526" s="8" t="n">
        <v>277.221</v>
      </c>
      <c r="F526" s="7" t="n">
        <v>-22.4030015</v>
      </c>
      <c r="G526" s="7" t="n">
        <v>-44.93923631</v>
      </c>
      <c r="H526" s="8" t="n">
        <v>60.3835</v>
      </c>
      <c r="I526" s="6" t="inlineStr">
        <is>
          <t>BAIXO</t>
        </is>
      </c>
      <c r="J526" s="6" t="inlineStr">
        <is>
          <t>swine</t>
        </is>
      </c>
      <c r="K526" s="6" t="n">
        <v>9</v>
      </c>
    </row>
    <row r="527">
      <c r="A527" s="6" t="inlineStr">
        <is>
          <t>3163805</t>
        </is>
      </c>
      <c r="B527" s="6" t="inlineStr">
        <is>
          <t>3163805</t>
        </is>
      </c>
      <c r="C527" s="4" t="inlineStr">
        <is>
          <t>Juíz de Fora</t>
        </is>
      </c>
      <c r="D527" s="16" t="n">
        <v>6334</v>
      </c>
      <c r="E527" s="8" t="n">
        <v>152.111</v>
      </c>
      <c r="F527" s="7" t="n">
        <v>-20.746745</v>
      </c>
      <c r="G527" s="7" t="n">
        <v>-42.68671272</v>
      </c>
      <c r="H527" s="8" t="n">
        <v>60.3457</v>
      </c>
      <c r="I527" s="6" t="inlineStr">
        <is>
          <t>BAIXO</t>
        </is>
      </c>
      <c r="J527" s="6" t="inlineStr">
        <is>
          <t>swine</t>
        </is>
      </c>
      <c r="K527" s="6" t="n">
        <v>8</v>
      </c>
    </row>
    <row r="528">
      <c r="A528" s="6" t="inlineStr">
        <is>
          <t>3116209</t>
        </is>
      </c>
      <c r="B528" s="6" t="inlineStr">
        <is>
          <t>3116209</t>
        </is>
      </c>
      <c r="C528" s="4" t="inlineStr">
        <is>
          <t>Juíz de Fora</t>
        </is>
      </c>
      <c r="D528" s="16" t="n">
        <v>2800</v>
      </c>
      <c r="E528" s="8" t="n">
        <v>252.852</v>
      </c>
      <c r="F528" s="7" t="n">
        <v>-21.9804</v>
      </c>
      <c r="G528" s="7" t="n">
        <v>-42.98915845</v>
      </c>
      <c r="H528" s="8" t="n">
        <v>60.1358</v>
      </c>
      <c r="I528" s="6" t="inlineStr">
        <is>
          <t>BAIXO</t>
        </is>
      </c>
      <c r="J528" s="6" t="inlineStr">
        <is>
          <t>swine</t>
        </is>
      </c>
      <c r="K528" s="6" t="n">
        <v>8</v>
      </c>
    </row>
    <row r="529">
      <c r="A529" s="6" t="inlineStr">
        <is>
          <t>3142502</t>
        </is>
      </c>
      <c r="B529" s="6" t="inlineStr">
        <is>
          <t>3142502</t>
        </is>
      </c>
      <c r="C529" s="4" t="inlineStr">
        <is>
          <t>Belo Horizonte</t>
        </is>
      </c>
      <c r="D529" s="16" t="n">
        <v>2169</v>
      </c>
      <c r="E529" s="8" t="n">
        <v>650.9109999999999</v>
      </c>
      <c r="F529" s="7" t="n">
        <v>-18.3927405</v>
      </c>
      <c r="G529" s="7" t="n">
        <v>-43.99754861</v>
      </c>
      <c r="H529" s="8" t="n">
        <v>59.7977</v>
      </c>
      <c r="I529" s="6" t="inlineStr">
        <is>
          <t>BAIXO</t>
        </is>
      </c>
      <c r="J529" s="6" t="inlineStr">
        <is>
          <t>swine</t>
        </is>
      </c>
      <c r="K529" s="6" t="n">
        <v>7</v>
      </c>
    </row>
    <row r="530">
      <c r="A530" s="6" t="inlineStr">
        <is>
          <t>3154101</t>
        </is>
      </c>
      <c r="B530" s="6" t="inlineStr">
        <is>
          <t>3154101</t>
        </is>
      </c>
      <c r="C530" s="4" t="inlineStr">
        <is>
          <t>Juíz de Fora</t>
        </is>
      </c>
      <c r="D530" s="16" t="n">
        <v>11007</v>
      </c>
      <c r="E530" s="8" t="n">
        <v>234.296</v>
      </c>
      <c r="F530" s="7" t="n">
        <v>-21.518329</v>
      </c>
      <c r="G530" s="7" t="n">
        <v>-42.45548962</v>
      </c>
      <c r="H530" s="8" t="n">
        <v>59.5739</v>
      </c>
      <c r="I530" s="6" t="inlineStr">
        <is>
          <t>BAIXO</t>
        </is>
      </c>
      <c r="J530" s="6" t="inlineStr">
        <is>
          <t>swine</t>
        </is>
      </c>
      <c r="K530" s="6" t="n">
        <v>7</v>
      </c>
    </row>
    <row r="531">
      <c r="A531" s="6" t="inlineStr">
        <is>
          <t>3127305</t>
        </is>
      </c>
      <c r="B531" s="6" t="inlineStr">
        <is>
          <t>3127305</t>
        </is>
      </c>
      <c r="C531" s="4" t="inlineStr">
        <is>
          <t>Governador Valadares</t>
        </is>
      </c>
      <c r="D531" s="16" t="n">
        <v>6222</v>
      </c>
      <c r="E531" s="8" t="n">
        <v>720.303</v>
      </c>
      <c r="F531" s="7" t="n">
        <v>-18.8898065</v>
      </c>
      <c r="G531" s="7" t="n">
        <v>-41.58399439</v>
      </c>
      <c r="H531" s="8" t="n">
        <v>59.4124</v>
      </c>
      <c r="I531" s="6" t="inlineStr">
        <is>
          <t>BAIXO</t>
        </is>
      </c>
      <c r="J531" s="6" t="inlineStr">
        <is>
          <t>swine</t>
        </is>
      </c>
      <c r="K531" s="6" t="n">
        <v>9</v>
      </c>
    </row>
    <row r="532">
      <c r="A532" s="6" t="inlineStr">
        <is>
          <t>3161502</t>
        </is>
      </c>
      <c r="B532" s="6" t="inlineStr">
        <is>
          <t>3161502</t>
        </is>
      </c>
      <c r="C532" s="4" t="inlineStr">
        <is>
          <t>Juíz de Fora</t>
        </is>
      </c>
      <c r="D532" s="16" t="n">
        <v>10282</v>
      </c>
      <c r="E532" s="8" t="n">
        <v>185.578</v>
      </c>
      <c r="F532" s="7" t="n">
        <v>-20.908901</v>
      </c>
      <c r="G532" s="7" t="n">
        <v>-42.82695337</v>
      </c>
      <c r="H532" s="8" t="n">
        <v>58.8652</v>
      </c>
      <c r="I532" s="6" t="inlineStr">
        <is>
          <t>BAIXO</t>
        </is>
      </c>
      <c r="J532" s="6" t="inlineStr">
        <is>
          <t>swine</t>
        </is>
      </c>
      <c r="K532" s="6" t="n">
        <v>10</v>
      </c>
    </row>
    <row r="533">
      <c r="A533" s="6" t="inlineStr">
        <is>
          <t>3102704</t>
        </is>
      </c>
      <c r="B533" s="6" t="inlineStr">
        <is>
          <t>3102704</t>
        </is>
      </c>
      <c r="C533" s="4" t="inlineStr">
        <is>
          <t>Teófilo Otoni</t>
        </is>
      </c>
      <c r="D533" s="16" t="n">
        <v>9110</v>
      </c>
      <c r="E533" s="8" t="n">
        <v>695.672</v>
      </c>
      <c r="F533" s="7" t="n">
        <v>-15.9615125</v>
      </c>
      <c r="G533" s="7" t="n">
        <v>-41.50986606</v>
      </c>
      <c r="H533" s="8" t="n">
        <v>58.7031</v>
      </c>
      <c r="I533" s="6" t="inlineStr">
        <is>
          <t>BAIXO</t>
        </is>
      </c>
      <c r="J533" s="6" t="inlineStr">
        <is>
          <t>swine</t>
        </is>
      </c>
      <c r="K533" s="6" t="n">
        <v>9</v>
      </c>
    </row>
    <row r="534">
      <c r="A534" s="6" t="inlineStr">
        <is>
          <t>3162450</t>
        </is>
      </c>
      <c r="B534" s="6" t="inlineStr">
        <is>
          <t>3162450</t>
        </is>
      </c>
      <c r="C534" s="4" t="inlineStr">
        <is>
          <t>Montes Claros</t>
        </is>
      </c>
      <c r="D534" s="16" t="n">
        <v>13024</v>
      </c>
      <c r="E534" s="8" t="n">
        <v>678.274</v>
      </c>
      <c r="F534" s="7" t="n">
        <v>-14.880481</v>
      </c>
      <c r="G534" s="7" t="n">
        <v>-44.25487068</v>
      </c>
      <c r="H534" s="8" t="n">
        <v>58.4222</v>
      </c>
      <c r="I534" s="6" t="inlineStr">
        <is>
          <t>BAIXO</t>
        </is>
      </c>
      <c r="J534" s="6" t="inlineStr">
        <is>
          <t>swine</t>
        </is>
      </c>
      <c r="K534" s="6" t="n">
        <v>7</v>
      </c>
    </row>
    <row r="535">
      <c r="A535" s="6" t="inlineStr">
        <is>
          <t>3130051</t>
        </is>
      </c>
      <c r="B535" s="6" t="inlineStr">
        <is>
          <t>3130051</t>
        </is>
      </c>
      <c r="C535" s="4" t="inlineStr">
        <is>
          <t>Montes Claros</t>
        </is>
      </c>
      <c r="D535" s="16" t="n">
        <v>10677</v>
      </c>
      <c r="E535" s="8" t="n">
        <v>625.664</v>
      </c>
      <c r="F535" s="7" t="n">
        <v>-16.2286505</v>
      </c>
      <c r="G535" s="7" t="n">
        <v>-44.92338068</v>
      </c>
      <c r="H535" s="8" t="n">
        <v>58.3408</v>
      </c>
      <c r="I535" s="6" t="inlineStr">
        <is>
          <t>BAIXO</t>
        </is>
      </c>
      <c r="J535" s="6" t="inlineStr">
        <is>
          <t>swine</t>
        </is>
      </c>
      <c r="K535" s="6" t="n">
        <v>7</v>
      </c>
    </row>
    <row r="536">
      <c r="A536" s="6" t="inlineStr">
        <is>
          <t>3156106</t>
        </is>
      </c>
      <c r="B536" s="6" t="inlineStr">
        <is>
          <t>3156106</t>
        </is>
      </c>
      <c r="C536" s="4" t="inlineStr">
        <is>
          <t>Barbacena</t>
        </is>
      </c>
      <c r="D536" s="16" t="n">
        <v>4994</v>
      </c>
      <c r="E536" s="8" t="n">
        <v>404.805</v>
      </c>
      <c r="F536" s="7" t="n">
        <v>-20.9764145</v>
      </c>
      <c r="G536" s="7" t="n">
        <v>-44.36702444</v>
      </c>
      <c r="H536" s="8" t="n">
        <v>58.1593</v>
      </c>
      <c r="I536" s="6" t="inlineStr">
        <is>
          <t>BAIXO</t>
        </is>
      </c>
      <c r="J536" s="6" t="inlineStr">
        <is>
          <t>swine</t>
        </is>
      </c>
      <c r="K536" s="6" t="n">
        <v>10</v>
      </c>
    </row>
    <row r="537">
      <c r="A537" s="6" t="inlineStr">
        <is>
          <t>3102852</t>
        </is>
      </c>
      <c r="B537" s="6" t="inlineStr">
        <is>
          <t>3102852</t>
        </is>
      </c>
      <c r="C537" s="4" t="inlineStr">
        <is>
          <t>Teófilo Otoni</t>
        </is>
      </c>
      <c r="D537" s="16" t="n">
        <v>7718</v>
      </c>
      <c r="E537" s="8" t="n">
        <v>185.211</v>
      </c>
      <c r="F537" s="7" t="n">
        <v>-17.692278</v>
      </c>
      <c r="G537" s="7" t="n">
        <v>-42.29257932</v>
      </c>
      <c r="H537" s="8" t="n">
        <v>58.0709</v>
      </c>
      <c r="I537" s="6" t="inlineStr">
        <is>
          <t>BAIXO</t>
        </is>
      </c>
      <c r="J537" s="6" t="inlineStr">
        <is>
          <t>coffee</t>
        </is>
      </c>
      <c r="K537" s="6" t="n">
        <v>10</v>
      </c>
    </row>
    <row r="538">
      <c r="A538" s="6" t="inlineStr">
        <is>
          <t>3120102</t>
        </is>
      </c>
      <c r="B538" s="6" t="inlineStr">
        <is>
          <t>3120102</t>
        </is>
      </c>
      <c r="C538" s="4" t="inlineStr">
        <is>
          <t>Teófilo Otoni</t>
        </is>
      </c>
      <c r="D538" s="16" t="n">
        <v>4245</v>
      </c>
      <c r="E538" s="8" t="n">
        <v>485.654</v>
      </c>
      <c r="F538" s="7" t="n">
        <v>-18.076641</v>
      </c>
      <c r="G538" s="7" t="n">
        <v>-43.45779703</v>
      </c>
      <c r="H538" s="8" t="n">
        <v>57.981</v>
      </c>
      <c r="I538" s="6" t="inlineStr">
        <is>
          <t>BAIXO</t>
        </is>
      </c>
      <c r="J538" s="6" t="inlineStr">
        <is>
          <t>swine</t>
        </is>
      </c>
      <c r="K538" s="6" t="n">
        <v>10</v>
      </c>
    </row>
    <row r="539">
      <c r="A539" s="6" t="inlineStr">
        <is>
          <t>3143807</t>
        </is>
      </c>
      <c r="B539" s="6" t="inlineStr">
        <is>
          <t>3143807</t>
        </is>
      </c>
      <c r="C539" s="4" t="inlineStr">
        <is>
          <t>Pouso Alegre</t>
        </is>
      </c>
      <c r="D539" s="16" t="n">
        <v>7451</v>
      </c>
      <c r="E539" s="8" t="n">
        <v>191.599</v>
      </c>
      <c r="F539" s="7" t="n">
        <v>-22.6354557</v>
      </c>
      <c r="G539" s="7" t="n">
        <v>-46.30804512</v>
      </c>
      <c r="H539" s="8" t="n">
        <v>57.6884</v>
      </c>
      <c r="I539" s="6" t="inlineStr">
        <is>
          <t>BAIXO</t>
        </is>
      </c>
      <c r="J539" s="6" t="inlineStr">
        <is>
          <t>corn</t>
        </is>
      </c>
      <c r="K539" s="6" t="n">
        <v>10</v>
      </c>
    </row>
    <row r="540">
      <c r="A540" s="6" t="inlineStr">
        <is>
          <t>3111705</t>
        </is>
      </c>
      <c r="B540" s="6" t="inlineStr">
        <is>
          <t>3111705</t>
        </is>
      </c>
      <c r="C540" s="4" t="inlineStr">
        <is>
          <t>Juíz de Fora</t>
        </is>
      </c>
      <c r="D540" s="16" t="n">
        <v>4715</v>
      </c>
      <c r="E540" s="8" t="n">
        <v>174.9</v>
      </c>
      <c r="F540" s="7" t="n">
        <v>-20.6704225</v>
      </c>
      <c r="G540" s="7" t="n">
        <v>-42.62038387</v>
      </c>
      <c r="H540" s="8" t="n">
        <v>57.1695</v>
      </c>
      <c r="I540" s="6" t="inlineStr">
        <is>
          <t>BAIXO</t>
        </is>
      </c>
      <c r="J540" s="6" t="inlineStr">
        <is>
          <t>swine</t>
        </is>
      </c>
      <c r="K540" s="6" t="n">
        <v>9</v>
      </c>
    </row>
    <row r="541">
      <c r="A541" s="6" t="inlineStr">
        <is>
          <t>3120508</t>
        </is>
      </c>
      <c r="B541" s="6" t="inlineStr">
        <is>
          <t>3120508</t>
        </is>
      </c>
      <c r="C541" s="4" t="inlineStr">
        <is>
          <t>Pouso Alegre</t>
        </is>
      </c>
      <c r="D541" s="16" t="n">
        <v>10374</v>
      </c>
      <c r="E541" s="8" t="n">
        <v>311.33</v>
      </c>
      <c r="F541" s="7" t="n">
        <v>-22.2126035</v>
      </c>
      <c r="G541" s="7" t="n">
        <v>-45.28016903</v>
      </c>
      <c r="H541" s="8" t="n">
        <v>56.7615</v>
      </c>
      <c r="I541" s="6" t="inlineStr">
        <is>
          <t>BAIXO</t>
        </is>
      </c>
      <c r="J541" s="6" t="inlineStr">
        <is>
          <t>swine</t>
        </is>
      </c>
      <c r="K541" s="6" t="n">
        <v>9</v>
      </c>
    </row>
    <row r="542">
      <c r="A542" s="6" t="inlineStr">
        <is>
          <t>3143609</t>
        </is>
      </c>
      <c r="B542" s="6" t="inlineStr">
        <is>
          <t>3143609</t>
        </is>
      </c>
      <c r="C542" s="4" t="inlineStr">
        <is>
          <t>Belo Horizonte</t>
        </is>
      </c>
      <c r="D542" s="16" t="n">
        <v>2411</v>
      </c>
      <c r="E542" s="8" t="n">
        <v>414.772</v>
      </c>
      <c r="F542" s="7" t="n">
        <v>-18.6038175</v>
      </c>
      <c r="G542" s="7" t="n">
        <v>-44.61227109</v>
      </c>
      <c r="H542" s="8" t="n">
        <v>56.5061</v>
      </c>
      <c r="I542" s="6" t="inlineStr">
        <is>
          <t>BAIXO</t>
        </is>
      </c>
      <c r="J542" s="6" t="inlineStr">
        <is>
          <t>swine</t>
        </is>
      </c>
      <c r="K542" s="6" t="n">
        <v>9</v>
      </c>
    </row>
    <row r="543">
      <c r="A543" s="6" t="inlineStr">
        <is>
          <t>3155405</t>
        </is>
      </c>
      <c r="B543" s="6" t="inlineStr">
        <is>
          <t>3155405</t>
        </is>
      </c>
      <c r="C543" s="4" t="inlineStr">
        <is>
          <t>Juíz de Fora</t>
        </is>
      </c>
      <c r="D543" s="16" t="n">
        <v>8518</v>
      </c>
      <c r="E543" s="8" t="n">
        <v>209.31</v>
      </c>
      <c r="F543" s="7" t="n">
        <v>-21.4811465</v>
      </c>
      <c r="G543" s="7" t="n">
        <v>-43.12756746</v>
      </c>
      <c r="H543" s="8" t="n">
        <v>56.4482</v>
      </c>
      <c r="I543" s="6" t="inlineStr">
        <is>
          <t>BAIXO</t>
        </is>
      </c>
      <c r="J543" s="6" t="inlineStr">
        <is>
          <t>swine</t>
        </is>
      </c>
      <c r="K543" s="6" t="n">
        <v>7</v>
      </c>
    </row>
    <row r="544">
      <c r="A544" s="6" t="inlineStr">
        <is>
          <t>3150208</t>
        </is>
      </c>
      <c r="B544" s="6" t="inlineStr">
        <is>
          <t>3150208</t>
        </is>
      </c>
      <c r="C544" s="4" t="inlineStr">
        <is>
          <t>Juíz de Fora</t>
        </is>
      </c>
      <c r="D544" s="16" t="n">
        <v>3976</v>
      </c>
      <c r="E544" s="8" t="n">
        <v>83.733</v>
      </c>
      <c r="F544" s="7" t="n">
        <v>-20.2402065</v>
      </c>
      <c r="G544" s="7" t="n">
        <v>-42.73374332</v>
      </c>
      <c r="H544" s="8" t="n">
        <v>55.6908</v>
      </c>
      <c r="I544" s="6" t="inlineStr">
        <is>
          <t>BAIXO</t>
        </is>
      </c>
      <c r="J544" s="6" t="inlineStr">
        <is>
          <t>sugarcane</t>
        </is>
      </c>
      <c r="K544" s="6" t="n">
        <v>7</v>
      </c>
    </row>
    <row r="545">
      <c r="A545" s="6" t="inlineStr">
        <is>
          <t>3153509</t>
        </is>
      </c>
      <c r="B545" s="6" t="inlineStr">
        <is>
          <t>3153509</t>
        </is>
      </c>
      <c r="C545" s="4" t="inlineStr">
        <is>
          <t>Juíz de Fora</t>
        </is>
      </c>
      <c r="D545" s="16" t="n">
        <v>8397</v>
      </c>
      <c r="E545" s="8" t="n">
        <v>152.272</v>
      </c>
      <c r="F545" s="7" t="n">
        <v>-20.438424</v>
      </c>
      <c r="G545" s="7" t="n">
        <v>-41.95330666</v>
      </c>
      <c r="H545" s="8" t="n">
        <v>55.3184</v>
      </c>
      <c r="I545" s="6" t="inlineStr">
        <is>
          <t>BAIXO</t>
        </is>
      </c>
      <c r="J545" s="6" t="inlineStr">
        <is>
          <t>swine</t>
        </is>
      </c>
      <c r="K545" s="6" t="n">
        <v>9</v>
      </c>
    </row>
    <row r="546">
      <c r="A546" s="6" t="inlineStr">
        <is>
          <t>3106507</t>
        </is>
      </c>
      <c r="B546" s="6" t="inlineStr">
        <is>
          <t>3106507</t>
        </is>
      </c>
      <c r="C546" s="4" t="inlineStr">
        <is>
          <t>Teófilo Otoni</t>
        </is>
      </c>
      <c r="D546" s="16" t="n">
        <v>9826</v>
      </c>
      <c r="E546" s="8" t="n">
        <v>587.106</v>
      </c>
      <c r="F546" s="7" t="n">
        <v>-16.8818575</v>
      </c>
      <c r="G546" s="7" t="n">
        <v>-42.48690861</v>
      </c>
      <c r="H546" s="8" t="n">
        <v>55.2992</v>
      </c>
      <c r="I546" s="6" t="inlineStr">
        <is>
          <t>BAIXO</t>
        </is>
      </c>
      <c r="J546" s="6" t="inlineStr">
        <is>
          <t>swine</t>
        </is>
      </c>
      <c r="K546" s="6" t="n">
        <v>10</v>
      </c>
    </row>
    <row r="547">
      <c r="A547" s="6" t="inlineStr">
        <is>
          <t>3135456</t>
        </is>
      </c>
      <c r="B547" s="6" t="inlineStr">
        <is>
          <t>3135456</t>
        </is>
      </c>
      <c r="C547" s="4" t="inlineStr">
        <is>
          <t>Teófilo Otoni</t>
        </is>
      </c>
      <c r="D547" s="16" t="n">
        <v>6100</v>
      </c>
      <c r="E547" s="8" t="n">
        <v>284.453</v>
      </c>
      <c r="F547" s="7" t="n">
        <v>-17.1866055</v>
      </c>
      <c r="G547" s="7" t="n">
        <v>-42.17891492</v>
      </c>
      <c r="H547" s="8" t="n">
        <v>55.2631</v>
      </c>
      <c r="I547" s="6" t="inlineStr">
        <is>
          <t>BAIXO</t>
        </is>
      </c>
      <c r="J547" s="6" t="inlineStr">
        <is>
          <t>forestry</t>
        </is>
      </c>
      <c r="K547" s="6" t="n">
        <v>9</v>
      </c>
    </row>
    <row r="548">
      <c r="A548" s="6" t="inlineStr">
        <is>
          <t>3104601</t>
        </is>
      </c>
      <c r="B548" s="6" t="inlineStr">
        <is>
          <t>3104601</t>
        </is>
      </c>
      <c r="C548" s="4" t="inlineStr">
        <is>
          <t>Juíz de Fora</t>
        </is>
      </c>
      <c r="D548" s="16" t="n">
        <v>14138</v>
      </c>
      <c r="E548" s="8" t="n">
        <v>158.891</v>
      </c>
      <c r="F548" s="7" t="n">
        <v>-21.32187985</v>
      </c>
      <c r="G548" s="7" t="n">
        <v>-42.87247784</v>
      </c>
      <c r="H548" s="8" t="n">
        <v>55.2618</v>
      </c>
      <c r="I548" s="6" t="inlineStr">
        <is>
          <t>BAIXO</t>
        </is>
      </c>
      <c r="J548" s="6" t="inlineStr">
        <is>
          <t>swine</t>
        </is>
      </c>
      <c r="K548" s="6" t="n">
        <v>9</v>
      </c>
    </row>
    <row r="549">
      <c r="A549" s="6" t="inlineStr">
        <is>
          <t>3148756</t>
        </is>
      </c>
      <c r="B549" s="6" t="inlineStr">
        <is>
          <t>3148756</t>
        </is>
      </c>
      <c r="C549" s="4" t="inlineStr">
        <is>
          <t>Juíz de Fora</t>
        </is>
      </c>
      <c r="D549" s="16" t="n">
        <v>7320</v>
      </c>
      <c r="E549" s="8" t="n">
        <v>173.928</v>
      </c>
      <c r="F549" s="7" t="n">
        <v>-20.4695075</v>
      </c>
      <c r="G549" s="7" t="n">
        <v>-42.36886778</v>
      </c>
      <c r="H549" s="8" t="n">
        <v>55.1157</v>
      </c>
      <c r="I549" s="6" t="inlineStr">
        <is>
          <t>BAIXO</t>
        </is>
      </c>
      <c r="J549" s="6" t="inlineStr">
        <is>
          <t>swine</t>
        </is>
      </c>
      <c r="K549" s="6" t="n">
        <v>8</v>
      </c>
    </row>
    <row r="550">
      <c r="A550" s="6" t="inlineStr">
        <is>
          <t>3103801</t>
        </is>
      </c>
      <c r="B550" s="6" t="inlineStr">
        <is>
          <t>3103801</t>
        </is>
      </c>
      <c r="C550" s="4" t="inlineStr">
        <is>
          <t>Patos de Minas</t>
        </is>
      </c>
      <c r="D550" s="16" t="n">
        <v>2631</v>
      </c>
      <c r="E550" s="8" t="n">
        <v>173.894</v>
      </c>
      <c r="F550" s="7" t="n">
        <v>-19.025411</v>
      </c>
      <c r="G550" s="7" t="n">
        <v>-46.10127275</v>
      </c>
      <c r="H550" s="8" t="n">
        <v>55.1136</v>
      </c>
      <c r="I550" s="6" t="inlineStr">
        <is>
          <t>BAIXO</t>
        </is>
      </c>
      <c r="J550" s="6" t="inlineStr">
        <is>
          <t>swine</t>
        </is>
      </c>
      <c r="K550" s="6" t="n">
        <v>9</v>
      </c>
    </row>
    <row r="551">
      <c r="A551" s="6" t="inlineStr">
        <is>
          <t>3140308</t>
        </is>
      </c>
      <c r="B551" s="6" t="inlineStr">
        <is>
          <t>3140308</t>
        </is>
      </c>
      <c r="C551" s="4" t="inlineStr">
        <is>
          <t>Ipatinga</t>
        </is>
      </c>
      <c r="D551" s="16" t="n">
        <v>4592</v>
      </c>
      <c r="E551" s="8" t="n">
        <v>545.813</v>
      </c>
      <c r="F551" s="7" t="n">
        <v>-19.682211</v>
      </c>
      <c r="G551" s="7" t="n">
        <v>-42.59188201</v>
      </c>
      <c r="H551" s="8" t="n">
        <v>54.3616</v>
      </c>
      <c r="I551" s="6" t="inlineStr">
        <is>
          <t>BAIXO</t>
        </is>
      </c>
      <c r="J551" s="6" t="inlineStr">
        <is>
          <t>swine</t>
        </is>
      </c>
      <c r="K551" s="6" t="n">
        <v>9</v>
      </c>
    </row>
    <row r="552">
      <c r="A552" s="6" t="inlineStr">
        <is>
          <t>3110608</t>
        </is>
      </c>
      <c r="B552" s="6" t="inlineStr">
        <is>
          <t>3110608</t>
        </is>
      </c>
      <c r="C552" s="4" t="inlineStr">
        <is>
          <t>Pouso Alegre</t>
        </is>
      </c>
      <c r="D552" s="16" t="n">
        <v>29536</v>
      </c>
      <c r="E552" s="8" t="n">
        <v>244.567</v>
      </c>
      <c r="F552" s="7" t="n">
        <v>-22.591643</v>
      </c>
      <c r="G552" s="7" t="n">
        <v>-46.08399088</v>
      </c>
      <c r="H552" s="8" t="n">
        <v>54.0674</v>
      </c>
      <c r="I552" s="6" t="inlineStr">
        <is>
          <t>BAIXO</t>
        </is>
      </c>
      <c r="J552" s="6" t="inlineStr">
        <is>
          <t>swine</t>
        </is>
      </c>
      <c r="K552" s="6" t="n">
        <v>11</v>
      </c>
    </row>
    <row r="553">
      <c r="A553" s="6" t="inlineStr">
        <is>
          <t>3122454</t>
        </is>
      </c>
      <c r="B553" s="6" t="inlineStr">
        <is>
          <t>3122454</t>
        </is>
      </c>
      <c r="C553" s="4" t="inlineStr">
        <is>
          <t>Teófilo Otoni</t>
        </is>
      </c>
      <c r="D553" s="16" t="n">
        <v>10213</v>
      </c>
      <c r="E553" s="8" t="n">
        <v>572.926</v>
      </c>
      <c r="F553" s="7" t="n">
        <v>-15.7705822</v>
      </c>
      <c r="G553" s="7" t="n">
        <v>-40.94824922</v>
      </c>
      <c r="H553" s="8" t="n">
        <v>53.4991</v>
      </c>
      <c r="I553" s="6" t="inlineStr">
        <is>
          <t>BAIXO</t>
        </is>
      </c>
      <c r="J553" s="6" t="inlineStr">
        <is>
          <t>swine</t>
        </is>
      </c>
      <c r="K553" s="6" t="n">
        <v>10</v>
      </c>
    </row>
    <row r="554">
      <c r="A554" s="6" t="inlineStr">
        <is>
          <t>3148806</t>
        </is>
      </c>
      <c r="B554" s="6" t="inlineStr">
        <is>
          <t>3148806</t>
        </is>
      </c>
      <c r="C554" s="4" t="inlineStr">
        <is>
          <t>Juíz de Fora</t>
        </is>
      </c>
      <c r="D554" s="16" t="n">
        <v>3311</v>
      </c>
      <c r="E554" s="8" t="n">
        <v>173.168</v>
      </c>
      <c r="F554" s="7" t="n">
        <v>-20.5946785</v>
      </c>
      <c r="G554" s="7" t="n">
        <v>-42.72326284</v>
      </c>
      <c r="H554" s="8" t="n">
        <v>53.446</v>
      </c>
      <c r="I554" s="6" t="inlineStr">
        <is>
          <t>BAIXO</t>
        </is>
      </c>
      <c r="J554" s="6" t="inlineStr">
        <is>
          <t>swine</t>
        </is>
      </c>
      <c r="K554" s="6" t="n">
        <v>9</v>
      </c>
    </row>
    <row r="555">
      <c r="A555" s="6" t="inlineStr">
        <is>
          <t>3167905</t>
        </is>
      </c>
      <c r="B555" s="6" t="inlineStr">
        <is>
          <t>3167905</t>
        </is>
      </c>
      <c r="C555" s="4" t="inlineStr">
        <is>
          <t>Juíz de Fora</t>
        </is>
      </c>
      <c r="D555" s="16" t="n">
        <v>4014</v>
      </c>
      <c r="E555" s="8" t="n">
        <v>211.084</v>
      </c>
      <c r="F555" s="7" t="n">
        <v>-21.3588495</v>
      </c>
      <c r="G555" s="7" t="n">
        <v>-43.26590892</v>
      </c>
      <c r="H555" s="8" t="n">
        <v>53.3283</v>
      </c>
      <c r="I555" s="6" t="inlineStr">
        <is>
          <t>BAIXO</t>
        </is>
      </c>
      <c r="J555" s="6" t="inlineStr">
        <is>
          <t>swine</t>
        </is>
      </c>
      <c r="K555" s="6" t="n">
        <v>8</v>
      </c>
    </row>
    <row r="556">
      <c r="A556" s="6" t="inlineStr">
        <is>
          <t>3168507</t>
        </is>
      </c>
      <c r="B556" s="6" t="inlineStr">
        <is>
          <t>3168507</t>
        </is>
      </c>
      <c r="C556" s="4" t="inlineStr">
        <is>
          <t>Juíz de Fora</t>
        </is>
      </c>
      <c r="D556" s="16" t="n">
        <v>12255</v>
      </c>
      <c r="E556" s="8" t="n">
        <v>166.735</v>
      </c>
      <c r="F556" s="7" t="n">
        <v>-20.626538</v>
      </c>
      <c r="G556" s="7" t="n">
        <v>-42.85085298</v>
      </c>
      <c r="H556" s="8" t="n">
        <v>53.3252</v>
      </c>
      <c r="I556" s="6" t="inlineStr">
        <is>
          <t>BAIXO</t>
        </is>
      </c>
      <c r="J556" s="6" t="inlineStr">
        <is>
          <t>swine</t>
        </is>
      </c>
      <c r="K556" s="6" t="n">
        <v>9</v>
      </c>
    </row>
    <row r="557">
      <c r="A557" s="6" t="inlineStr">
        <is>
          <t>3164506</t>
        </is>
      </c>
      <c r="B557" s="6" t="inlineStr">
        <is>
          <t>3164506</t>
        </is>
      </c>
      <c r="C557" s="4" t="inlineStr">
        <is>
          <t>Governador Valadares</t>
        </is>
      </c>
      <c r="D557" s="16" t="n">
        <v>10079</v>
      </c>
      <c r="E557" s="8" t="n">
        <v>517.83</v>
      </c>
      <c r="F557" s="7" t="n">
        <v>-18.045489</v>
      </c>
      <c r="G557" s="7" t="n">
        <v>-42.53798289</v>
      </c>
      <c r="H557" s="8" t="n">
        <v>53.008</v>
      </c>
      <c r="I557" s="6" t="inlineStr">
        <is>
          <t>BAIXO</t>
        </is>
      </c>
      <c r="J557" s="6" t="inlineStr">
        <is>
          <t>swine</t>
        </is>
      </c>
      <c r="K557" s="6" t="n">
        <v>9</v>
      </c>
    </row>
    <row r="558">
      <c r="A558" s="6" t="inlineStr">
        <is>
          <t>3126802</t>
        </is>
      </c>
      <c r="B558" s="6" t="inlineStr">
        <is>
          <t>3126802</t>
        </is>
      </c>
      <c r="C558" s="4" t="inlineStr">
        <is>
          <t>Teófilo Otoni</t>
        </is>
      </c>
      <c r="D558" s="16" t="n">
        <v>5640</v>
      </c>
      <c r="E558" s="8" t="n">
        <v>626.672</v>
      </c>
      <c r="F558" s="7" t="n">
        <v>-18.1407625</v>
      </c>
      <c r="G558" s="7" t="n">
        <v>-41.54820883</v>
      </c>
      <c r="H558" s="8" t="n">
        <v>52.9133</v>
      </c>
      <c r="I558" s="6" t="inlineStr">
        <is>
          <t>BAIXO</t>
        </is>
      </c>
      <c r="J558" s="6" t="inlineStr">
        <is>
          <t>swine</t>
        </is>
      </c>
      <c r="K558" s="6" t="n">
        <v>10</v>
      </c>
    </row>
    <row r="559">
      <c r="A559" s="6" t="inlineStr">
        <is>
          <t>3160009</t>
        </is>
      </c>
      <c r="B559" s="6" t="inlineStr">
        <is>
          <t>3160009</t>
        </is>
      </c>
      <c r="C559" s="4" t="inlineStr">
        <is>
          <t>Juíz de Fora</t>
        </is>
      </c>
      <c r="D559" s="16" t="n">
        <v>3769</v>
      </c>
      <c r="E559" s="8" t="n">
        <v>202.032</v>
      </c>
      <c r="F559" s="7" t="n">
        <v>-21.74972</v>
      </c>
      <c r="G559" s="7" t="n">
        <v>-42.81944253</v>
      </c>
      <c r="H559" s="8" t="n">
        <v>52.8914</v>
      </c>
      <c r="I559" s="6" t="inlineStr">
        <is>
          <t>BAIXO</t>
        </is>
      </c>
      <c r="J559" s="6" t="inlineStr">
        <is>
          <t>swine</t>
        </is>
      </c>
      <c r="K559" s="6" t="n">
        <v>8</v>
      </c>
    </row>
    <row r="560">
      <c r="A560" s="6" t="inlineStr">
        <is>
          <t>3121308</t>
        </is>
      </c>
      <c r="B560" s="6" t="inlineStr">
        <is>
          <t>3121308</t>
        </is>
      </c>
      <c r="C560" s="4" t="inlineStr">
        <is>
          <t>Juíz de Fora</t>
        </is>
      </c>
      <c r="D560" s="16" t="n">
        <v>4928</v>
      </c>
      <c r="E560" s="8" t="n">
        <v>213.168</v>
      </c>
      <c r="F560" s="7" t="n">
        <v>-21.44571555</v>
      </c>
      <c r="G560" s="7" t="n">
        <v>-42.96701376</v>
      </c>
      <c r="H560" s="8" t="n">
        <v>52.8516</v>
      </c>
      <c r="I560" s="6" t="inlineStr">
        <is>
          <t>BAIXO</t>
        </is>
      </c>
      <c r="J560" s="6" t="inlineStr">
        <is>
          <t>swine</t>
        </is>
      </c>
      <c r="K560" s="6" t="n">
        <v>9</v>
      </c>
    </row>
    <row r="561">
      <c r="A561" s="6" t="inlineStr">
        <is>
          <t>3149101</t>
        </is>
      </c>
      <c r="B561" s="6" t="inlineStr">
        <is>
          <t>3149101</t>
        </is>
      </c>
      <c r="C561" s="4" t="inlineStr">
        <is>
          <t>Pouso Alegre</t>
        </is>
      </c>
      <c r="D561" s="16" t="n">
        <v>10760</v>
      </c>
      <c r="E561" s="8" t="n">
        <v>217.99</v>
      </c>
      <c r="F561" s="7" t="n">
        <v>-22.2474355</v>
      </c>
      <c r="G561" s="7" t="n">
        <v>-45.46345803</v>
      </c>
      <c r="H561" s="8" t="n">
        <v>52.824</v>
      </c>
      <c r="I561" s="6" t="inlineStr">
        <is>
          <t>BAIXO</t>
        </is>
      </c>
      <c r="J561" s="6" t="inlineStr">
        <is>
          <t>swine</t>
        </is>
      </c>
      <c r="K561" s="6" t="n">
        <v>10</v>
      </c>
    </row>
    <row r="562">
      <c r="A562" s="6" t="inlineStr">
        <is>
          <t>3112109</t>
        </is>
      </c>
      <c r="B562" s="6" t="inlineStr">
        <is>
          <t>3112109</t>
        </is>
      </c>
      <c r="C562" s="4" t="inlineStr">
        <is>
          <t>Juíz de Fora</t>
        </is>
      </c>
      <c r="D562" s="16" t="n">
        <v>5048</v>
      </c>
      <c r="E562" s="8" t="n">
        <v>130.694</v>
      </c>
      <c r="F562" s="7" t="n">
        <v>-20.531152</v>
      </c>
      <c r="G562" s="7" t="n">
        <v>-41.9509743</v>
      </c>
      <c r="H562" s="8" t="n">
        <v>52.7441</v>
      </c>
      <c r="I562" s="6" t="inlineStr">
        <is>
          <t>BAIXO</t>
        </is>
      </c>
      <c r="J562" s="6" t="inlineStr">
        <is>
          <t>swine</t>
        </is>
      </c>
      <c r="K562" s="6" t="n">
        <v>8</v>
      </c>
    </row>
    <row r="563">
      <c r="A563" s="6" t="inlineStr">
        <is>
          <t>3117009</t>
        </is>
      </c>
      <c r="B563" s="6" t="inlineStr">
        <is>
          <t>3117009</t>
        </is>
      </c>
      <c r="C563" s="4" t="inlineStr">
        <is>
          <t>Teófilo Otoni</t>
        </is>
      </c>
      <c r="D563" s="16" t="n">
        <v>6660</v>
      </c>
      <c r="E563" s="8" t="n">
        <v>654.961</v>
      </c>
      <c r="F563" s="7" t="n">
        <v>-16.2874665</v>
      </c>
      <c r="G563" s="7" t="n">
        <v>-41.77972453</v>
      </c>
      <c r="H563" s="8" t="n">
        <v>52.5021</v>
      </c>
      <c r="I563" s="6" t="inlineStr">
        <is>
          <t>BAIXO</t>
        </is>
      </c>
      <c r="J563" s="6" t="inlineStr">
        <is>
          <t>swine</t>
        </is>
      </c>
      <c r="K563" s="6" t="n">
        <v>9</v>
      </c>
    </row>
    <row r="564">
      <c r="A564" s="6" t="inlineStr">
        <is>
          <t>3171204</t>
        </is>
      </c>
      <c r="B564" s="6" t="inlineStr">
        <is>
          <t>3171204</t>
        </is>
      </c>
      <c r="C564" s="4" t="inlineStr">
        <is>
          <t>Belo Horizonte</t>
        </is>
      </c>
      <c r="D564" s="16" t="n">
        <v>129246</v>
      </c>
      <c r="E564" s="8" t="n">
        <v>70.456</v>
      </c>
      <c r="F564" s="7" t="n">
        <v>-19.7308299</v>
      </c>
      <c r="G564" s="7" t="n">
        <v>-43.94232725</v>
      </c>
      <c r="H564" s="8" t="n">
        <v>52.3052</v>
      </c>
      <c r="I564" s="6" t="inlineStr">
        <is>
          <t>BAIXO</t>
        </is>
      </c>
      <c r="J564" s="6" t="inlineStr">
        <is>
          <t>rsu_organic</t>
        </is>
      </c>
      <c r="K564" s="6" t="n">
        <v>6</v>
      </c>
    </row>
    <row r="565">
      <c r="A565" s="6" t="inlineStr">
        <is>
          <t>3138005</t>
        </is>
      </c>
      <c r="B565" s="6" t="inlineStr">
        <is>
          <t>3138005</t>
        </is>
      </c>
      <c r="C565" s="4" t="inlineStr">
        <is>
          <t>Juíz de Fora</t>
        </is>
      </c>
      <c r="D565" s="16" t="n">
        <v>5963</v>
      </c>
      <c r="E565" s="8" t="n">
        <v>204.882</v>
      </c>
      <c r="F565" s="7" t="n">
        <v>-21.352325</v>
      </c>
      <c r="G565" s="7" t="n">
        <v>-42.47255081</v>
      </c>
      <c r="H565" s="8" t="n">
        <v>51.9957</v>
      </c>
      <c r="I565" s="6" t="inlineStr">
        <is>
          <t>BAIXO</t>
        </is>
      </c>
      <c r="J565" s="6" t="inlineStr">
        <is>
          <t>swine</t>
        </is>
      </c>
      <c r="K565" s="6" t="n">
        <v>8</v>
      </c>
    </row>
    <row r="566">
      <c r="A566" s="6" t="inlineStr">
        <is>
          <t>3141108</t>
        </is>
      </c>
      <c r="B566" s="6" t="inlineStr">
        <is>
          <t>3141108</t>
        </is>
      </c>
      <c r="C566" s="4" t="inlineStr">
        <is>
          <t>Belo Horizonte</t>
        </is>
      </c>
      <c r="D566" s="16" t="n">
        <v>37618</v>
      </c>
      <c r="E566" s="8" t="n">
        <v>252.453</v>
      </c>
      <c r="F566" s="7" t="n">
        <v>-19.530701</v>
      </c>
      <c r="G566" s="7" t="n">
        <v>-44.04869384</v>
      </c>
      <c r="H566" s="8" t="n">
        <v>51.9771</v>
      </c>
      <c r="I566" s="6" t="inlineStr">
        <is>
          <t>BAIXO</t>
        </is>
      </c>
      <c r="J566" s="6" t="inlineStr">
        <is>
          <t>swine</t>
        </is>
      </c>
      <c r="K566" s="6" t="n">
        <v>8</v>
      </c>
    </row>
    <row r="567">
      <c r="A567" s="6" t="inlineStr">
        <is>
          <t>3165560</t>
        </is>
      </c>
      <c r="B567" s="6" t="inlineStr">
        <is>
          <t>3165560</t>
        </is>
      </c>
      <c r="C567" s="4" t="inlineStr">
        <is>
          <t>Juíz de Fora</t>
        </is>
      </c>
      <c r="D567" s="16" t="n">
        <v>2433</v>
      </c>
      <c r="E567" s="8" t="n">
        <v>176.634</v>
      </c>
      <c r="F567" s="7" t="n">
        <v>-20.0818455</v>
      </c>
      <c r="G567" s="7" t="n">
        <v>-42.83213391</v>
      </c>
      <c r="H567" s="8" t="n">
        <v>51.5977</v>
      </c>
      <c r="I567" s="6" t="inlineStr">
        <is>
          <t>BAIXO</t>
        </is>
      </c>
      <c r="J567" s="6" t="inlineStr">
        <is>
          <t>swine</t>
        </is>
      </c>
      <c r="K567" s="6" t="n">
        <v>8</v>
      </c>
    </row>
    <row r="568">
      <c r="A568" s="6" t="inlineStr">
        <is>
          <t>3146305</t>
        </is>
      </c>
      <c r="B568" s="6" t="inlineStr">
        <is>
          <t>3146305</t>
        </is>
      </c>
      <c r="C568" s="4" t="inlineStr">
        <is>
          <t>Teófilo Otoni</t>
        </is>
      </c>
      <c r="D568" s="16" t="n">
        <v>17334</v>
      </c>
      <c r="E568" s="8" t="n">
        <v>544.375</v>
      </c>
      <c r="F568" s="7" t="n">
        <v>-17.0600895</v>
      </c>
      <c r="G568" s="7" t="n">
        <v>-41.52800512</v>
      </c>
      <c r="H568" s="8" t="n">
        <v>51.5532</v>
      </c>
      <c r="I568" s="6" t="inlineStr">
        <is>
          <t>BAIXO</t>
        </is>
      </c>
      <c r="J568" s="6" t="inlineStr">
        <is>
          <t>swine</t>
        </is>
      </c>
      <c r="K568" s="6" t="n">
        <v>10</v>
      </c>
    </row>
    <row r="569">
      <c r="A569" s="6" t="inlineStr">
        <is>
          <t>3169000</t>
        </is>
      </c>
      <c r="B569" s="6" t="inlineStr">
        <is>
          <t>3169000</t>
        </is>
      </c>
      <c r="C569" s="4" t="inlineStr">
        <is>
          <t>Juíz de Fora</t>
        </is>
      </c>
      <c r="D569" s="16" t="n">
        <v>16185</v>
      </c>
      <c r="E569" s="8" t="n">
        <v>173.866</v>
      </c>
      <c r="F569" s="7" t="n">
        <v>-21.1817635</v>
      </c>
      <c r="G569" s="7" t="n">
        <v>-43.01830204</v>
      </c>
      <c r="H569" s="8" t="n">
        <v>51.4809</v>
      </c>
      <c r="I569" s="6" t="inlineStr">
        <is>
          <t>BAIXO</t>
        </is>
      </c>
      <c r="J569" s="6" t="inlineStr">
        <is>
          <t>swine</t>
        </is>
      </c>
      <c r="K569" s="6" t="n">
        <v>9</v>
      </c>
    </row>
    <row r="570">
      <c r="A570" s="6" t="inlineStr">
        <is>
          <t>3160108</t>
        </is>
      </c>
      <c r="B570" s="6" t="inlineStr">
        <is>
          <t>3160108</t>
        </is>
      </c>
      <c r="C570" s="4" t="inlineStr">
        <is>
          <t>Juíz de Fora</t>
        </is>
      </c>
      <c r="D570" s="16" t="n">
        <v>4229</v>
      </c>
      <c r="E570" s="8" t="n">
        <v>130.213</v>
      </c>
      <c r="F570" s="7" t="n">
        <v>-20.3211125</v>
      </c>
      <c r="G570" s="7" t="n">
        <v>-42.6049709</v>
      </c>
      <c r="H570" s="8" t="n">
        <v>51.4584</v>
      </c>
      <c r="I570" s="6" t="inlineStr">
        <is>
          <t>BAIXO</t>
        </is>
      </c>
      <c r="J570" s="6" t="inlineStr">
        <is>
          <t>swine</t>
        </is>
      </c>
      <c r="K570" s="6" t="n">
        <v>9</v>
      </c>
    </row>
    <row r="571">
      <c r="A571" s="6" t="inlineStr">
        <is>
          <t>3148509</t>
        </is>
      </c>
      <c r="B571" s="6" t="inlineStr">
        <is>
          <t>3148509</t>
        </is>
      </c>
      <c r="C571" s="4" t="inlineStr">
        <is>
          <t>Teófilo Otoni</t>
        </is>
      </c>
      <c r="D571" s="16" t="n">
        <v>8047</v>
      </c>
      <c r="E571" s="8" t="n">
        <v>601.1900000000001</v>
      </c>
      <c r="F571" s="7" t="n">
        <v>-17.4645835</v>
      </c>
      <c r="G571" s="7" t="n">
        <v>-41.10116452</v>
      </c>
      <c r="H571" s="8" t="n">
        <v>51.2804</v>
      </c>
      <c r="I571" s="6" t="inlineStr">
        <is>
          <t>BAIXO</t>
        </is>
      </c>
      <c r="J571" s="6" t="inlineStr">
        <is>
          <t>swine</t>
        </is>
      </c>
      <c r="K571" s="6" t="n">
        <v>7</v>
      </c>
    </row>
    <row r="572">
      <c r="A572" s="6" t="inlineStr">
        <is>
          <t>3145877</t>
        </is>
      </c>
      <c r="B572" s="6" t="inlineStr">
        <is>
          <t>3145877</t>
        </is>
      </c>
      <c r="C572" s="4" t="inlineStr">
        <is>
          <t>Juíz de Fora</t>
        </is>
      </c>
      <c r="D572" s="16" t="n">
        <v>8437</v>
      </c>
      <c r="E572" s="8" t="n">
        <v>121.8</v>
      </c>
      <c r="F572" s="7" t="n">
        <v>-20.5122275</v>
      </c>
      <c r="G572" s="7" t="n">
        <v>-42.21500618</v>
      </c>
      <c r="H572" s="8" t="n">
        <v>51.1699</v>
      </c>
      <c r="I572" s="6" t="inlineStr">
        <is>
          <t>BAIXO</t>
        </is>
      </c>
      <c r="J572" s="6" t="inlineStr">
        <is>
          <t>swine</t>
        </is>
      </c>
      <c r="K572" s="6" t="n">
        <v>8</v>
      </c>
    </row>
    <row r="573">
      <c r="A573" s="6" t="inlineStr">
        <is>
          <t>3122702</t>
        </is>
      </c>
      <c r="B573" s="6" t="inlineStr">
        <is>
          <t>3122702</t>
        </is>
      </c>
      <c r="C573" s="4" t="inlineStr">
        <is>
          <t>Juíz de Fora</t>
        </is>
      </c>
      <c r="D573" s="16" t="n">
        <v>5228</v>
      </c>
      <c r="E573" s="8" t="n">
        <v>194.972</v>
      </c>
      <c r="F573" s="7" t="n">
        <v>-20.120097</v>
      </c>
      <c r="G573" s="7" t="n">
        <v>-42.93086216</v>
      </c>
      <c r="H573" s="8" t="n">
        <v>51.1234</v>
      </c>
      <c r="I573" s="6" t="inlineStr">
        <is>
          <t>BAIXO</t>
        </is>
      </c>
      <c r="J573" s="6" t="inlineStr">
        <is>
          <t>swine</t>
        </is>
      </c>
      <c r="K573" s="6" t="n">
        <v>9</v>
      </c>
    </row>
    <row r="574">
      <c r="A574" s="6" t="inlineStr">
        <is>
          <t>3129202</t>
        </is>
      </c>
      <c r="B574" s="6" t="inlineStr">
        <is>
          <t>3129202</t>
        </is>
      </c>
      <c r="C574" s="4" t="inlineStr">
        <is>
          <t>Pouso Alegre</t>
        </is>
      </c>
      <c r="D574" s="16" t="n">
        <v>6134</v>
      </c>
      <c r="E574" s="8" t="n">
        <v>153.95</v>
      </c>
      <c r="F574" s="7" t="n">
        <v>-22.0450115</v>
      </c>
      <c r="G574" s="7" t="n">
        <v>-45.54284801</v>
      </c>
      <c r="H574" s="8" t="n">
        <v>51.1008</v>
      </c>
      <c r="I574" s="6" t="inlineStr">
        <is>
          <t>BAIXO</t>
        </is>
      </c>
      <c r="J574" s="6" t="inlineStr">
        <is>
          <t>swine</t>
        </is>
      </c>
      <c r="K574" s="6" t="n">
        <v>11</v>
      </c>
    </row>
    <row r="575">
      <c r="A575" s="6" t="inlineStr">
        <is>
          <t>3136520</t>
        </is>
      </c>
      <c r="B575" s="6" t="inlineStr">
        <is>
          <t>3136520</t>
        </is>
      </c>
      <c r="C575" s="4" t="inlineStr">
        <is>
          <t>Teófilo Otoni</t>
        </is>
      </c>
      <c r="D575" s="16" t="n">
        <v>3969</v>
      </c>
      <c r="E575" s="8" t="n">
        <v>381.332</v>
      </c>
      <c r="F575" s="7" t="n">
        <v>-16.900294</v>
      </c>
      <c r="G575" s="7" t="n">
        <v>-42.65142093</v>
      </c>
      <c r="H575" s="8" t="n">
        <v>51.0865</v>
      </c>
      <c r="I575" s="6" t="inlineStr">
        <is>
          <t>BAIXO</t>
        </is>
      </c>
      <c r="J575" s="6" t="inlineStr">
        <is>
          <t>swine</t>
        </is>
      </c>
      <c r="K575" s="6" t="n">
        <v>10</v>
      </c>
    </row>
    <row r="576">
      <c r="A576" s="6" t="inlineStr">
        <is>
          <t>3135704</t>
        </is>
      </c>
      <c r="B576" s="6" t="inlineStr">
        <is>
          <t>3135704</t>
        </is>
      </c>
      <c r="C576" s="4" t="inlineStr">
        <is>
          <t>Belo Horizonte</t>
        </is>
      </c>
      <c r="D576" s="16" t="n">
        <v>5883</v>
      </c>
      <c r="E576" s="8" t="n">
        <v>445.03</v>
      </c>
      <c r="F576" s="7" t="n">
        <v>-19.2076255</v>
      </c>
      <c r="G576" s="7" t="n">
        <v>-43.96514839</v>
      </c>
      <c r="H576" s="8" t="n">
        <v>50.9249</v>
      </c>
      <c r="I576" s="6" t="inlineStr">
        <is>
          <t>BAIXO</t>
        </is>
      </c>
      <c r="J576" s="6" t="inlineStr">
        <is>
          <t>swine</t>
        </is>
      </c>
      <c r="K576" s="6" t="n">
        <v>8</v>
      </c>
    </row>
    <row r="577">
      <c r="A577" s="6" t="inlineStr">
        <is>
          <t>3126307</t>
        </is>
      </c>
      <c r="B577" s="6" t="inlineStr">
        <is>
          <t>3126307</t>
        </is>
      </c>
      <c r="C577" s="4" t="inlineStr">
        <is>
          <t>Varginha</t>
        </is>
      </c>
      <c r="D577" s="16" t="n">
        <v>3477</v>
      </c>
      <c r="E577" s="8" t="n">
        <v>218.792</v>
      </c>
      <c r="F577" s="7" t="n">
        <v>-20.8896135</v>
      </c>
      <c r="G577" s="7" t="n">
        <v>-46.76943055</v>
      </c>
      <c r="H577" s="8" t="n">
        <v>50.9061</v>
      </c>
      <c r="I577" s="6" t="inlineStr">
        <is>
          <t>BAIXO</t>
        </is>
      </c>
      <c r="J577" s="6" t="inlineStr">
        <is>
          <t>swine</t>
        </is>
      </c>
      <c r="K577" s="6" t="n">
        <v>11</v>
      </c>
    </row>
    <row r="578">
      <c r="A578" s="6" t="inlineStr">
        <is>
          <t>3172103</t>
        </is>
      </c>
      <c r="B578" s="6" t="inlineStr">
        <is>
          <t>3172103</t>
        </is>
      </c>
      <c r="C578" s="4" t="inlineStr">
        <is>
          <t>Juíz de Fora</t>
        </is>
      </c>
      <c r="D578" s="16" t="n">
        <v>4443</v>
      </c>
      <c r="E578" s="8" t="n">
        <v>205.552</v>
      </c>
      <c r="F578" s="7" t="n">
        <v>-21.7634325</v>
      </c>
      <c r="G578" s="7" t="n">
        <v>-42.56565137</v>
      </c>
      <c r="H578" s="8" t="n">
        <v>50.7735</v>
      </c>
      <c r="I578" s="6" t="inlineStr">
        <is>
          <t>BAIXO</t>
        </is>
      </c>
      <c r="J578" s="6" t="inlineStr">
        <is>
          <t>swine</t>
        </is>
      </c>
      <c r="K578" s="6" t="n">
        <v>8</v>
      </c>
    </row>
    <row r="579">
      <c r="A579" s="6" t="inlineStr">
        <is>
          <t>3113602</t>
        </is>
      </c>
      <c r="B579" s="6" t="inlineStr">
        <is>
          <t>3113602</t>
        </is>
      </c>
      <c r="C579" s="4" t="inlineStr">
        <is>
          <t>Pouso Alegre</t>
        </is>
      </c>
      <c r="D579" s="16" t="n">
        <v>6816</v>
      </c>
      <c r="E579" s="8" t="n">
        <v>181.009</v>
      </c>
      <c r="F579" s="7" t="n">
        <v>-22.0719155</v>
      </c>
      <c r="G579" s="7" t="n">
        <v>-45.66333618</v>
      </c>
      <c r="H579" s="8" t="n">
        <v>50.7136</v>
      </c>
      <c r="I579" s="6" t="inlineStr">
        <is>
          <t>BAIXO</t>
        </is>
      </c>
      <c r="J579" s="6" t="inlineStr">
        <is>
          <t>swine</t>
        </is>
      </c>
      <c r="K579" s="6" t="n">
        <v>11</v>
      </c>
    </row>
    <row r="580">
      <c r="A580" s="6" t="inlineStr">
        <is>
          <t>3142254</t>
        </is>
      </c>
      <c r="B580" s="6" t="inlineStr">
        <is>
          <t>3142254</t>
        </is>
      </c>
      <c r="C580" s="4" t="inlineStr">
        <is>
          <t>Montes Claros</t>
        </is>
      </c>
      <c r="D580" s="16" t="n">
        <v>3985</v>
      </c>
      <c r="E580" s="8" t="n">
        <v>602.128</v>
      </c>
      <c r="F580" s="7" t="n">
        <v>-14.7499915</v>
      </c>
      <c r="G580" s="7" t="n">
        <v>-44.40292958</v>
      </c>
      <c r="H580" s="8" t="n">
        <v>50.7061</v>
      </c>
      <c r="I580" s="6" t="inlineStr">
        <is>
          <t>BAIXO</t>
        </is>
      </c>
      <c r="J580" s="6" t="inlineStr">
        <is>
          <t>swine</t>
        </is>
      </c>
      <c r="K580" s="6" t="n">
        <v>8</v>
      </c>
    </row>
    <row r="581">
      <c r="A581" s="6" t="inlineStr">
        <is>
          <t>3125606</t>
        </is>
      </c>
      <c r="B581" s="6" t="inlineStr">
        <is>
          <t>3125606</t>
        </is>
      </c>
      <c r="C581" s="4" t="inlineStr">
        <is>
          <t>Teófilo Otoni</t>
        </is>
      </c>
      <c r="D581" s="16" t="n">
        <v>6489</v>
      </c>
      <c r="E581" s="8" t="n">
        <v>596.215</v>
      </c>
      <c r="F581" s="7" t="n">
        <v>-16.662643</v>
      </c>
      <c r="G581" s="7" t="n">
        <v>-40.73573932</v>
      </c>
      <c r="H581" s="8" t="n">
        <v>50.4494</v>
      </c>
      <c r="I581" s="6" t="inlineStr">
        <is>
          <t>BAIXO</t>
        </is>
      </c>
      <c r="J581" s="6" t="inlineStr">
        <is>
          <t>swine</t>
        </is>
      </c>
      <c r="K581" s="6" t="n">
        <v>10</v>
      </c>
    </row>
    <row r="582">
      <c r="A582" s="6" t="inlineStr">
        <is>
          <t>3168051</t>
        </is>
      </c>
      <c r="B582" s="6" t="inlineStr">
        <is>
          <t>3168051</t>
        </is>
      </c>
      <c r="C582" s="4" t="inlineStr">
        <is>
          <t>Juíz de Fora</t>
        </is>
      </c>
      <c r="D582" s="16" t="n">
        <v>3387</v>
      </c>
      <c r="E582" s="8" t="n">
        <v>193.082</v>
      </c>
      <c r="F582" s="7" t="n">
        <v>-19.749413</v>
      </c>
      <c r="G582" s="7" t="n">
        <v>-41.61482746</v>
      </c>
      <c r="H582" s="8" t="n">
        <v>50.0999</v>
      </c>
      <c r="I582" s="6" t="inlineStr">
        <is>
          <t>BAIXO</t>
        </is>
      </c>
      <c r="J582" s="6" t="inlineStr">
        <is>
          <t>swine</t>
        </is>
      </c>
      <c r="K582" s="6" t="n">
        <v>10</v>
      </c>
    </row>
    <row r="583">
      <c r="A583" s="6" t="inlineStr">
        <is>
          <t>3151107</t>
        </is>
      </c>
      <c r="B583" s="6" t="inlineStr">
        <is>
          <t>3151107</t>
        </is>
      </c>
      <c r="C583" s="4" t="inlineStr">
        <is>
          <t>Juíz de Fora</t>
        </is>
      </c>
      <c r="D583" s="16" t="n">
        <v>11077</v>
      </c>
      <c r="E583" s="8" t="n">
        <v>190.681</v>
      </c>
      <c r="F583" s="7" t="n">
        <v>-21.664227</v>
      </c>
      <c r="G583" s="7" t="n">
        <v>-42.35891054</v>
      </c>
      <c r="H583" s="8" t="n">
        <v>49.8117</v>
      </c>
      <c r="I583" s="6" t="inlineStr">
        <is>
          <t>BAIXO</t>
        </is>
      </c>
      <c r="J583" s="6" t="inlineStr">
        <is>
          <t>swine</t>
        </is>
      </c>
      <c r="K583" s="6" t="n">
        <v>9</v>
      </c>
    </row>
    <row r="584">
      <c r="A584" s="6" t="inlineStr">
        <is>
          <t>3163409</t>
        </is>
      </c>
      <c r="B584" s="6" t="inlineStr">
        <is>
          <t>3163409</t>
        </is>
      </c>
      <c r="C584" s="4" t="inlineStr">
        <is>
          <t>Ipatinga</t>
        </is>
      </c>
      <c r="D584" s="16" t="n">
        <v>5396</v>
      </c>
      <c r="E584" s="8" t="n">
        <v>189.578</v>
      </c>
      <c r="F584" s="7" t="n">
        <v>-19.9379275</v>
      </c>
      <c r="G584" s="7" t="n">
        <v>-42.69974591</v>
      </c>
      <c r="H584" s="8" t="n">
        <v>49.8093</v>
      </c>
      <c r="I584" s="6" t="inlineStr">
        <is>
          <t>BAIXO</t>
        </is>
      </c>
      <c r="J584" s="6" t="inlineStr">
        <is>
          <t>sugarcane</t>
        </is>
      </c>
      <c r="K584" s="6" t="n">
        <v>10</v>
      </c>
    </row>
    <row r="585">
      <c r="A585" s="6" t="inlineStr">
        <is>
          <t>3157377</t>
        </is>
      </c>
      <c r="B585" s="6" t="inlineStr">
        <is>
          <t>3157377</t>
        </is>
      </c>
      <c r="C585" s="4" t="inlineStr">
        <is>
          <t>Montes Claros</t>
        </is>
      </c>
      <c r="D585" s="16" t="n">
        <v>3910</v>
      </c>
      <c r="E585" s="8" t="n">
        <v>589.607</v>
      </c>
      <c r="F585" s="7" t="n">
        <v>-16.0459175</v>
      </c>
      <c r="G585" s="7" t="n">
        <v>-41.81723186</v>
      </c>
      <c r="H585" s="8" t="n">
        <v>49.6514</v>
      </c>
      <c r="I585" s="6" t="inlineStr">
        <is>
          <t>BAIXO</t>
        </is>
      </c>
      <c r="J585" s="6" t="inlineStr">
        <is>
          <t>swine</t>
        </is>
      </c>
      <c r="K585" s="6" t="n">
        <v>9</v>
      </c>
    </row>
    <row r="586">
      <c r="A586" s="6" t="inlineStr">
        <is>
          <t>3137304</t>
        </is>
      </c>
      <c r="B586" s="6" t="inlineStr">
        <is>
          <t>3137304</t>
        </is>
      </c>
      <c r="C586" s="4" t="inlineStr">
        <is>
          <t>Montes Claros</t>
        </is>
      </c>
      <c r="D586" s="16" t="n">
        <v>3313</v>
      </c>
      <c r="E586" s="8" t="n">
        <v>600.547</v>
      </c>
      <c r="F586" s="7" t="n">
        <v>-17.0124095</v>
      </c>
      <c r="G586" s="7" t="n">
        <v>-44.65961755</v>
      </c>
      <c r="H586" s="8" t="n">
        <v>49.3735</v>
      </c>
      <c r="I586" s="6" t="inlineStr">
        <is>
          <t>BAIXO</t>
        </is>
      </c>
      <c r="J586" s="6" t="inlineStr">
        <is>
          <t>swine</t>
        </is>
      </c>
      <c r="K586" s="6" t="n">
        <v>8</v>
      </c>
    </row>
    <row r="587">
      <c r="A587" s="6" t="inlineStr">
        <is>
          <t>3137601</t>
        </is>
      </c>
      <c r="B587" s="6" t="inlineStr">
        <is>
          <t>3137601</t>
        </is>
      </c>
      <c r="C587" s="4" t="inlineStr">
        <is>
          <t>Belo Horizonte</t>
        </is>
      </c>
      <c r="D587" s="16" t="n">
        <v>75145</v>
      </c>
      <c r="E587" s="8" t="n">
        <v>229.741</v>
      </c>
      <c r="F587" s="7" t="n">
        <v>-19.6262435</v>
      </c>
      <c r="G587" s="7" t="n">
        <v>-43.88555024</v>
      </c>
      <c r="H587" s="8" t="n">
        <v>49.2805</v>
      </c>
      <c r="I587" s="6" t="inlineStr">
        <is>
          <t>BAIXO</t>
        </is>
      </c>
      <c r="J587" s="6" t="inlineStr">
        <is>
          <t>rsu_organic</t>
        </is>
      </c>
      <c r="K587" s="6" t="n">
        <v>9</v>
      </c>
    </row>
    <row r="588">
      <c r="A588" s="6" t="inlineStr">
        <is>
          <t>3114808</t>
        </is>
      </c>
      <c r="B588" s="6" t="inlineStr">
        <is>
          <t>3114808</t>
        </is>
      </c>
      <c r="C588" s="4" t="inlineStr">
        <is>
          <t>Pouso Alegre</t>
        </is>
      </c>
      <c r="D588" s="16" t="n">
        <v>4422</v>
      </c>
      <c r="E588" s="8" t="n">
        <v>282.254</v>
      </c>
      <c r="F588" s="7" t="n">
        <v>-22.0281455</v>
      </c>
      <c r="G588" s="7" t="n">
        <v>-44.50353104</v>
      </c>
      <c r="H588" s="8" t="n">
        <v>49.1404</v>
      </c>
      <c r="I588" s="6" t="inlineStr">
        <is>
          <t>BAIXO</t>
        </is>
      </c>
      <c r="J588" s="6" t="inlineStr">
        <is>
          <t>swine</t>
        </is>
      </c>
      <c r="K588" s="6" t="n">
        <v>8</v>
      </c>
    </row>
    <row r="589">
      <c r="A589" s="6" t="inlineStr">
        <is>
          <t>3118007</t>
        </is>
      </c>
      <c r="B589" s="6" t="inlineStr">
        <is>
          <t>3118007</t>
        </is>
      </c>
      <c r="C589" s="4" t="inlineStr">
        <is>
          <t>Barbacena</t>
        </is>
      </c>
      <c r="D589" s="16" t="n">
        <v>52890</v>
      </c>
      <c r="E589" s="8" t="n">
        <v>304.067</v>
      </c>
      <c r="F589" s="7" t="n">
        <v>-20.5177155</v>
      </c>
      <c r="G589" s="7" t="n">
        <v>-43.86156547</v>
      </c>
      <c r="H589" s="8" t="n">
        <v>48.7573</v>
      </c>
      <c r="I589" s="6" t="inlineStr">
        <is>
          <t>BAIXO</t>
        </is>
      </c>
      <c r="J589" s="6" t="inlineStr">
        <is>
          <t>swine</t>
        </is>
      </c>
      <c r="K589" s="6" t="n">
        <v>10</v>
      </c>
    </row>
    <row r="590">
      <c r="A590" s="6" t="inlineStr">
        <is>
          <t>3149309</t>
        </is>
      </c>
      <c r="B590" s="6" t="inlineStr">
        <is>
          <t>3149309</t>
        </is>
      </c>
      <c r="C590" s="4" t="inlineStr">
        <is>
          <t>Belo Horizonte</t>
        </is>
      </c>
      <c r="D590" s="16" t="n">
        <v>62580</v>
      </c>
      <c r="E590" s="8" t="n">
        <v>292.81</v>
      </c>
      <c r="F590" s="7" t="n">
        <v>-19.628506</v>
      </c>
      <c r="G590" s="7" t="n">
        <v>-44.07161039</v>
      </c>
      <c r="H590" s="8" t="n">
        <v>48.6687</v>
      </c>
      <c r="I590" s="6" t="inlineStr">
        <is>
          <t>BAIXO</t>
        </is>
      </c>
      <c r="J590" s="6" t="inlineStr">
        <is>
          <t>rsu_organic</t>
        </is>
      </c>
      <c r="K590" s="6" t="n">
        <v>7</v>
      </c>
    </row>
    <row r="591">
      <c r="A591" s="6" t="inlineStr">
        <is>
          <t>3105509</t>
        </is>
      </c>
      <c r="B591" s="6" t="inlineStr">
        <is>
          <t>3105509</t>
        </is>
      </c>
      <c r="C591" s="4" t="inlineStr">
        <is>
          <t>Juíz de Fora</t>
        </is>
      </c>
      <c r="D591" s="16" t="n">
        <v>4964</v>
      </c>
      <c r="E591" s="8" t="n">
        <v>198.313</v>
      </c>
      <c r="F591" s="7" t="n">
        <v>-21.2681845</v>
      </c>
      <c r="G591" s="7" t="n">
        <v>-42.273126</v>
      </c>
      <c r="H591" s="8" t="n">
        <v>48.4371</v>
      </c>
      <c r="I591" s="6" t="inlineStr">
        <is>
          <t>BAIXO</t>
        </is>
      </c>
      <c r="J591" s="6" t="inlineStr">
        <is>
          <t>swine</t>
        </is>
      </c>
      <c r="K591" s="6" t="n">
        <v>9</v>
      </c>
    </row>
    <row r="592">
      <c r="A592" s="6" t="inlineStr">
        <is>
          <t>3164407</t>
        </is>
      </c>
      <c r="B592" s="6" t="inlineStr">
        <is>
          <t>3164407</t>
        </is>
      </c>
      <c r="C592" s="4" t="inlineStr">
        <is>
          <t>Pouso Alegre</t>
        </is>
      </c>
      <c r="D592" s="16" t="n">
        <v>6387</v>
      </c>
      <c r="E592" s="8" t="n">
        <v>167.428</v>
      </c>
      <c r="F592" s="7" t="n">
        <v>-22.165648</v>
      </c>
      <c r="G592" s="7" t="n">
        <v>-45.75743412</v>
      </c>
      <c r="H592" s="8" t="n">
        <v>48.0975</v>
      </c>
      <c r="I592" s="6" t="inlineStr">
        <is>
          <t>BAIXO</t>
        </is>
      </c>
      <c r="J592" s="6" t="inlineStr">
        <is>
          <t>swine</t>
        </is>
      </c>
      <c r="K592" s="6" t="n">
        <v>10</v>
      </c>
    </row>
    <row r="593">
      <c r="A593" s="6" t="inlineStr">
        <is>
          <t>3144359</t>
        </is>
      </c>
      <c r="B593" s="6" t="inlineStr">
        <is>
          <t>3144359</t>
        </is>
      </c>
      <c r="C593" s="4" t="inlineStr">
        <is>
          <t>Ipatinga</t>
        </is>
      </c>
      <c r="D593" s="16" t="n">
        <v>6303</v>
      </c>
      <c r="E593" s="8" t="n">
        <v>127.173</v>
      </c>
      <c r="F593" s="7" t="n">
        <v>-19.175836</v>
      </c>
      <c r="G593" s="7" t="n">
        <v>-42.32560776</v>
      </c>
      <c r="H593" s="8" t="n">
        <v>47.7607</v>
      </c>
      <c r="I593" s="6" t="inlineStr">
        <is>
          <t>BAIXO</t>
        </is>
      </c>
      <c r="J593" s="6" t="inlineStr">
        <is>
          <t>forestry</t>
        </is>
      </c>
      <c r="K593" s="6" t="n">
        <v>8</v>
      </c>
    </row>
    <row r="594">
      <c r="A594" s="6" t="inlineStr">
        <is>
          <t>3140704</t>
        </is>
      </c>
      <c r="B594" s="6" t="inlineStr">
        <is>
          <t>3140704</t>
        </is>
      </c>
      <c r="C594" s="4" t="inlineStr">
        <is>
          <t>Belo Horizonte</t>
        </is>
      </c>
      <c r="D594" s="16" t="n">
        <v>37841</v>
      </c>
      <c r="E594" s="8" t="n">
        <v>302.312</v>
      </c>
      <c r="F594" s="7" t="n">
        <v>-20.03202905</v>
      </c>
      <c r="G594" s="7" t="n">
        <v>-44.4300976</v>
      </c>
      <c r="H594" s="8" t="n">
        <v>47.7328</v>
      </c>
      <c r="I594" s="6" t="inlineStr">
        <is>
          <t>BAIXO</t>
        </is>
      </c>
      <c r="J594" s="6" t="inlineStr">
        <is>
          <t>swine</t>
        </is>
      </c>
      <c r="K594" s="6" t="n">
        <v>10</v>
      </c>
    </row>
    <row r="595">
      <c r="A595" s="6" t="inlineStr">
        <is>
          <t>3111903</t>
        </is>
      </c>
      <c r="B595" s="6" t="inlineStr">
        <is>
          <t>3111903</t>
        </is>
      </c>
      <c r="C595" s="4" t="inlineStr">
        <is>
          <t>Varginha</t>
        </is>
      </c>
      <c r="D595" s="16" t="n">
        <v>5272</v>
      </c>
      <c r="E595" s="8" t="n">
        <v>212.721</v>
      </c>
      <c r="F595" s="7" t="n">
        <v>-21.0306995</v>
      </c>
      <c r="G595" s="7" t="n">
        <v>-45.18663329</v>
      </c>
      <c r="H595" s="8" t="n">
        <v>47.641</v>
      </c>
      <c r="I595" s="6" t="inlineStr">
        <is>
          <t>BAIXO</t>
        </is>
      </c>
      <c r="J595" s="6" t="inlineStr">
        <is>
          <t>swine</t>
        </is>
      </c>
      <c r="K595" s="6" t="n">
        <v>10</v>
      </c>
    </row>
    <row r="596">
      <c r="A596" s="6" t="inlineStr">
        <is>
          <t>3132305</t>
        </is>
      </c>
      <c r="B596" s="6" t="inlineStr">
        <is>
          <t>3132305</t>
        </is>
      </c>
      <c r="C596" s="4" t="inlineStr">
        <is>
          <t>Teófilo Otoni</t>
        </is>
      </c>
      <c r="D596" s="16" t="n">
        <v>10463</v>
      </c>
      <c r="E596" s="8" t="n">
        <v>480.829</v>
      </c>
      <c r="F596" s="7" t="n">
        <v>-17.417492</v>
      </c>
      <c r="G596" s="7" t="n">
        <v>-41.67914027</v>
      </c>
      <c r="H596" s="8" t="n">
        <v>47.4611</v>
      </c>
      <c r="I596" s="6" t="inlineStr">
        <is>
          <t>BAIXO</t>
        </is>
      </c>
      <c r="J596" s="6" t="inlineStr">
        <is>
          <t>swine</t>
        </is>
      </c>
      <c r="K596" s="6" t="n">
        <v>10</v>
      </c>
    </row>
    <row r="597">
      <c r="A597" s="6" t="inlineStr">
        <is>
          <t>3167004</t>
        </is>
      </c>
      <c r="B597" s="6" t="inlineStr">
        <is>
          <t>3167004</t>
        </is>
      </c>
      <c r="C597" s="4" t="inlineStr">
        <is>
          <t>Pouso Alegre</t>
        </is>
      </c>
      <c r="D597" s="16" t="n">
        <v>1990</v>
      </c>
      <c r="E597" s="8" t="n">
        <v>213.173</v>
      </c>
      <c r="F597" s="7" t="n">
        <v>-21.8277545</v>
      </c>
      <c r="G597" s="7" t="n">
        <v>-44.51972644</v>
      </c>
      <c r="H597" s="8" t="n">
        <v>47.3918</v>
      </c>
      <c r="I597" s="6" t="inlineStr">
        <is>
          <t>BAIXO</t>
        </is>
      </c>
      <c r="J597" s="6" t="inlineStr">
        <is>
          <t>swine</t>
        </is>
      </c>
      <c r="K597" s="6" t="n">
        <v>10</v>
      </c>
    </row>
    <row r="598">
      <c r="A598" s="6" t="inlineStr">
        <is>
          <t>3152600</t>
        </is>
      </c>
      <c r="B598" s="6" t="inlineStr">
        <is>
          <t>3152600</t>
        </is>
      </c>
      <c r="C598" s="4" t="inlineStr">
        <is>
          <t>Pouso Alegre</t>
        </is>
      </c>
      <c r="D598" s="16" t="n">
        <v>6566</v>
      </c>
      <c r="E598" s="8" t="n">
        <v>263.034</v>
      </c>
      <c r="F598" s="7" t="n">
        <v>-22.17718835</v>
      </c>
      <c r="G598" s="7" t="n">
        <v>-44.93916478</v>
      </c>
      <c r="H598" s="8" t="n">
        <v>47.3165</v>
      </c>
      <c r="I598" s="6" t="inlineStr">
        <is>
          <t>BAIXO</t>
        </is>
      </c>
      <c r="J598" s="6" t="inlineStr">
        <is>
          <t>swine</t>
        </is>
      </c>
      <c r="K598" s="6" t="n">
        <v>9</v>
      </c>
    </row>
    <row r="599">
      <c r="A599" s="6" t="inlineStr">
        <is>
          <t>3152131</t>
        </is>
      </c>
      <c r="B599" s="6" t="inlineStr">
        <is>
          <t>3152131</t>
        </is>
      </c>
      <c r="C599" s="4" t="inlineStr">
        <is>
          <t>Montes Claros</t>
        </is>
      </c>
      <c r="D599" s="16" t="n">
        <v>3747</v>
      </c>
      <c r="E599" s="8" t="n">
        <v>602.799</v>
      </c>
      <c r="F599" s="7" t="n">
        <v>-16.604997</v>
      </c>
      <c r="G599" s="7" t="n">
        <v>-44.95010134</v>
      </c>
      <c r="H599" s="8" t="n">
        <v>47.25</v>
      </c>
      <c r="I599" s="6" t="inlineStr">
        <is>
          <t>BAIXO</t>
        </is>
      </c>
      <c r="J599" s="6" t="inlineStr">
        <is>
          <t>swine</t>
        </is>
      </c>
      <c r="K599" s="6" t="n">
        <v>6</v>
      </c>
    </row>
    <row r="600">
      <c r="A600" s="6" t="inlineStr">
        <is>
          <t>3166204</t>
        </is>
      </c>
      <c r="B600" s="6" t="inlineStr">
        <is>
          <t>3166204</t>
        </is>
      </c>
      <c r="C600" s="4" t="inlineStr">
        <is>
          <t>Barbacena</t>
        </is>
      </c>
      <c r="D600" s="16" t="n">
        <v>10384</v>
      </c>
      <c r="E600" s="8" t="n">
        <v>237.815</v>
      </c>
      <c r="F600" s="7" t="n">
        <v>-21.0406355</v>
      </c>
      <c r="G600" s="7" t="n">
        <v>-43.59140403</v>
      </c>
      <c r="H600" s="8" t="n">
        <v>47.1292</v>
      </c>
      <c r="I600" s="6" t="inlineStr">
        <is>
          <t>BAIXO</t>
        </is>
      </c>
      <c r="J600" s="6" t="inlineStr">
        <is>
          <t>corn</t>
        </is>
      </c>
      <c r="K600" s="6" t="n">
        <v>9</v>
      </c>
    </row>
    <row r="601">
      <c r="A601" s="6" t="inlineStr">
        <is>
          <t>3165701</t>
        </is>
      </c>
      <c r="B601" s="6" t="inlineStr">
        <is>
          <t>3165701</t>
        </is>
      </c>
      <c r="C601" s="4" t="inlineStr">
        <is>
          <t>Juíz de Fora</t>
        </is>
      </c>
      <c r="D601" s="16" t="n">
        <v>7716</v>
      </c>
      <c r="E601" s="8" t="n">
        <v>166.495</v>
      </c>
      <c r="F601" s="7" t="n">
        <v>-20.899189</v>
      </c>
      <c r="G601" s="7" t="n">
        <v>-43.09824999</v>
      </c>
      <c r="H601" s="8" t="n">
        <v>46.834</v>
      </c>
      <c r="I601" s="6" t="inlineStr">
        <is>
          <t>BAIXO</t>
        </is>
      </c>
      <c r="J601" s="6" t="inlineStr">
        <is>
          <t>swine</t>
        </is>
      </c>
      <c r="K601" s="6" t="n">
        <v>9</v>
      </c>
    </row>
    <row r="602">
      <c r="A602" s="6" t="inlineStr">
        <is>
          <t>3150109</t>
        </is>
      </c>
      <c r="B602" s="6" t="inlineStr">
        <is>
          <t>3150109</t>
        </is>
      </c>
      <c r="C602" s="4" t="inlineStr">
        <is>
          <t>Juíz de Fora</t>
        </is>
      </c>
      <c r="D602" s="16" t="n">
        <v>2796</v>
      </c>
      <c r="E602" s="8" t="n">
        <v>192.196</v>
      </c>
      <c r="F602" s="7" t="n">
        <v>-21.5098125</v>
      </c>
      <c r="G602" s="7" t="n">
        <v>-43.33036185</v>
      </c>
      <c r="H602" s="8" t="n">
        <v>46.8144</v>
      </c>
      <c r="I602" s="6" t="inlineStr">
        <is>
          <t>BAIXO</t>
        </is>
      </c>
      <c r="J602" s="6" t="inlineStr">
        <is>
          <t>swine</t>
        </is>
      </c>
      <c r="K602" s="6" t="n">
        <v>8</v>
      </c>
    </row>
    <row r="603">
      <c r="A603" s="6" t="inlineStr">
        <is>
          <t>3145901</t>
        </is>
      </c>
      <c r="B603" s="6" t="inlineStr">
        <is>
          <t>3145901</t>
        </is>
      </c>
      <c r="C603" s="4" t="inlineStr">
        <is>
          <t>Barbacena</t>
        </is>
      </c>
      <c r="D603" s="16" t="n">
        <v>38724</v>
      </c>
      <c r="E603" s="8" t="n">
        <v>258.726</v>
      </c>
      <c r="F603" s="7" t="n">
        <v>-20.526003</v>
      </c>
      <c r="G603" s="7" t="n">
        <v>-43.66296276</v>
      </c>
      <c r="H603" s="8" t="n">
        <v>46.5933</v>
      </c>
      <c r="I603" s="6" t="inlineStr">
        <is>
          <t>BAIXO</t>
        </is>
      </c>
      <c r="J603" s="6" t="inlineStr">
        <is>
          <t>swine</t>
        </is>
      </c>
      <c r="K603" s="6" t="n">
        <v>9</v>
      </c>
    </row>
    <row r="604">
      <c r="A604" s="6" t="inlineStr">
        <is>
          <t>3170057</t>
        </is>
      </c>
      <c r="B604" s="6" t="inlineStr">
        <is>
          <t>3170057</t>
        </is>
      </c>
      <c r="C604" s="4" t="inlineStr">
        <is>
          <t>Ipatinga</t>
        </is>
      </c>
      <c r="D604" s="16" t="n">
        <v>13017</v>
      </c>
      <c r="E604" s="8" t="n">
        <v>189.045</v>
      </c>
      <c r="F604" s="7" t="n">
        <v>-19.6662855</v>
      </c>
      <c r="G604" s="7" t="n">
        <v>-42.06169542</v>
      </c>
      <c r="H604" s="8" t="n">
        <v>46.2445</v>
      </c>
      <c r="I604" s="6" t="inlineStr">
        <is>
          <t>BAIXO</t>
        </is>
      </c>
      <c r="J604" s="6" t="inlineStr">
        <is>
          <t>forestry</t>
        </is>
      </c>
      <c r="K604" s="6" t="n">
        <v>10</v>
      </c>
    </row>
    <row r="605">
      <c r="A605" s="6" t="inlineStr">
        <is>
          <t>3154150</t>
        </is>
      </c>
      <c r="B605" s="6" t="inlineStr">
        <is>
          <t>3154150</t>
        </is>
      </c>
      <c r="C605" s="4" t="inlineStr">
        <is>
          <t>Juíz de Fora</t>
        </is>
      </c>
      <c r="D605" s="16" t="n">
        <v>7848</v>
      </c>
      <c r="E605" s="8" t="n">
        <v>151.859</v>
      </c>
      <c r="F605" s="7" t="n">
        <v>-20.233366</v>
      </c>
      <c r="G605" s="7" t="n">
        <v>-41.94896016</v>
      </c>
      <c r="H605" s="8" t="n">
        <v>46.1636</v>
      </c>
      <c r="I605" s="6" t="inlineStr">
        <is>
          <t>BAIXO</t>
        </is>
      </c>
      <c r="J605" s="6" t="inlineStr">
        <is>
          <t>swine</t>
        </is>
      </c>
      <c r="K605" s="6" t="n">
        <v>8</v>
      </c>
    </row>
    <row r="606">
      <c r="A606" s="6" t="inlineStr">
        <is>
          <t>3158607</t>
        </is>
      </c>
      <c r="B606" s="6" t="inlineStr">
        <is>
          <t>3158607</t>
        </is>
      </c>
      <c r="C606" s="4" t="inlineStr">
        <is>
          <t>Juíz de Fora</t>
        </is>
      </c>
      <c r="D606" s="16" t="n">
        <v>3747</v>
      </c>
      <c r="E606" s="8" t="n">
        <v>182.655</v>
      </c>
      <c r="F606" s="7" t="n">
        <v>-21.939302</v>
      </c>
      <c r="G606" s="7" t="n">
        <v>-43.18167688</v>
      </c>
      <c r="H606" s="8" t="n">
        <v>46.0729</v>
      </c>
      <c r="I606" s="6" t="inlineStr">
        <is>
          <t>BAIXO</t>
        </is>
      </c>
      <c r="J606" s="6" t="inlineStr">
        <is>
          <t>swine</t>
        </is>
      </c>
      <c r="K606" s="6" t="n">
        <v>8</v>
      </c>
    </row>
    <row r="607">
      <c r="A607" s="6" t="inlineStr">
        <is>
          <t>3106655</t>
        </is>
      </c>
      <c r="B607" s="6" t="inlineStr">
        <is>
          <t>3106655</t>
        </is>
      </c>
      <c r="C607" s="4" t="inlineStr">
        <is>
          <t>Montes Claros</t>
        </is>
      </c>
      <c r="D607" s="16" t="n">
        <v>4201</v>
      </c>
      <c r="E607" s="8" t="n">
        <v>488.756</v>
      </c>
      <c r="F607" s="7" t="n">
        <v>-15.6981195</v>
      </c>
      <c r="G607" s="7" t="n">
        <v>-41.77791388</v>
      </c>
      <c r="H607" s="8" t="n">
        <v>45.8874</v>
      </c>
      <c r="I607" s="6" t="inlineStr">
        <is>
          <t>BAIXO</t>
        </is>
      </c>
      <c r="J607" s="6" t="inlineStr">
        <is>
          <t>swine</t>
        </is>
      </c>
      <c r="K607" s="6" t="n">
        <v>10</v>
      </c>
    </row>
    <row r="608">
      <c r="A608" s="6" t="inlineStr">
        <is>
          <t>3130606</t>
        </is>
      </c>
      <c r="B608" s="6" t="inlineStr">
        <is>
          <t>3130606</t>
        </is>
      </c>
      <c r="C608" s="4" t="inlineStr">
        <is>
          <t>Pouso Alegre</t>
        </is>
      </c>
      <c r="D608" s="16" t="n">
        <v>7301</v>
      </c>
      <c r="E608" s="8" t="n">
        <v>149.611</v>
      </c>
      <c r="F608" s="7" t="n">
        <v>-22.3455447</v>
      </c>
      <c r="G608" s="7" t="n">
        <v>-46.28553999</v>
      </c>
      <c r="H608" s="8" t="n">
        <v>45.7941</v>
      </c>
      <c r="I608" s="6" t="inlineStr">
        <is>
          <t>BAIXO</t>
        </is>
      </c>
      <c r="J608" s="6" t="inlineStr">
        <is>
          <t>swine</t>
        </is>
      </c>
      <c r="K608" s="6" t="n">
        <v>11</v>
      </c>
    </row>
    <row r="609">
      <c r="A609" s="6" t="inlineStr">
        <is>
          <t>3136504</t>
        </is>
      </c>
      <c r="B609" s="6" t="inlineStr">
        <is>
          <t>3136504</t>
        </is>
      </c>
      <c r="C609" s="4" t="inlineStr">
        <is>
          <t>Teófilo Otoni</t>
        </is>
      </c>
      <c r="D609" s="16" t="n">
        <v>10304</v>
      </c>
      <c r="E609" s="8" t="n">
        <v>546.705</v>
      </c>
      <c r="F609" s="7" t="n">
        <v>-15.8741139</v>
      </c>
      <c r="G609" s="7" t="n">
        <v>-40.31045265</v>
      </c>
      <c r="H609" s="8" t="n">
        <v>45.7121</v>
      </c>
      <c r="I609" s="6" t="inlineStr">
        <is>
          <t>BAIXO</t>
        </is>
      </c>
      <c r="J609" s="6" t="inlineStr">
        <is>
          <t>swine</t>
        </is>
      </c>
      <c r="K609" s="6" t="n">
        <v>7</v>
      </c>
    </row>
    <row r="610">
      <c r="A610" s="6" t="inlineStr">
        <is>
          <t>3143708</t>
        </is>
      </c>
      <c r="B610" s="6" t="inlineStr">
        <is>
          <t>3143708</t>
        </is>
      </c>
      <c r="C610" s="4" t="inlineStr">
        <is>
          <t>Belo Horizonte</t>
        </is>
      </c>
      <c r="D610" s="16" t="n">
        <v>3133</v>
      </c>
      <c r="E610" s="8" t="n">
        <v>477.548</v>
      </c>
      <c r="F610" s="7" t="n">
        <v>-19.2185235</v>
      </c>
      <c r="G610" s="7" t="n">
        <v>-43.40184349</v>
      </c>
      <c r="H610" s="8" t="n">
        <v>45.6219</v>
      </c>
      <c r="I610" s="6" t="inlineStr">
        <is>
          <t>BAIXO</t>
        </is>
      </c>
      <c r="J610" s="6" t="inlineStr">
        <is>
          <t>swine</t>
        </is>
      </c>
      <c r="K610" s="6" t="n">
        <v>7</v>
      </c>
    </row>
    <row r="611">
      <c r="A611" s="6" t="inlineStr">
        <is>
          <t>3134103</t>
        </is>
      </c>
      <c r="B611" s="6" t="inlineStr">
        <is>
          <t>3134103</t>
        </is>
      </c>
      <c r="C611" s="4" t="inlineStr">
        <is>
          <t>Governador Valadares</t>
        </is>
      </c>
      <c r="D611" s="16" t="n">
        <v>6055</v>
      </c>
      <c r="E611" s="8" t="n">
        <v>452.676</v>
      </c>
      <c r="F611" s="7" t="n">
        <v>-19.37324205</v>
      </c>
      <c r="G611" s="7" t="n">
        <v>-41.06944841</v>
      </c>
      <c r="H611" s="8" t="n">
        <v>45.2999</v>
      </c>
      <c r="I611" s="6" t="inlineStr">
        <is>
          <t>BAIXO</t>
        </is>
      </c>
      <c r="J611" s="6" t="inlineStr">
        <is>
          <t>swine</t>
        </is>
      </c>
      <c r="K611" s="6" t="n">
        <v>10</v>
      </c>
    </row>
    <row r="612">
      <c r="A612" s="6" t="inlineStr">
        <is>
          <t>3145851</t>
        </is>
      </c>
      <c r="B612" s="6" t="inlineStr">
        <is>
          <t>3145851</t>
        </is>
      </c>
      <c r="C612" s="4" t="inlineStr">
        <is>
          <t>Juíz de Fora</t>
        </is>
      </c>
      <c r="D612" s="16" t="n">
        <v>4917</v>
      </c>
      <c r="E612" s="8" t="n">
        <v>89.068</v>
      </c>
      <c r="F612" s="7" t="n">
        <v>-20.4371195</v>
      </c>
      <c r="G612" s="7" t="n">
        <v>-42.78508238</v>
      </c>
      <c r="H612" s="8" t="n">
        <v>45.2844</v>
      </c>
      <c r="I612" s="6" t="inlineStr">
        <is>
          <t>BAIXO</t>
        </is>
      </c>
      <c r="J612" s="6" t="inlineStr">
        <is>
          <t>sugarcane</t>
        </is>
      </c>
      <c r="K612" s="6" t="n">
        <v>8</v>
      </c>
    </row>
    <row r="613">
      <c r="A613" s="6" t="inlineStr">
        <is>
          <t>3125309</t>
        </is>
      </c>
      <c r="B613" s="6" t="inlineStr">
        <is>
          <t>3125309</t>
        </is>
      </c>
      <c r="C613" s="4" t="inlineStr">
        <is>
          <t>Juíz de Fora</t>
        </is>
      </c>
      <c r="D613" s="16" t="n">
        <v>3188</v>
      </c>
      <c r="E613" s="8" t="n">
        <v>165.224</v>
      </c>
      <c r="F613" s="7" t="n">
        <v>-20.78711</v>
      </c>
      <c r="G613" s="7" t="n">
        <v>-42.05179441</v>
      </c>
      <c r="H613" s="8" t="n">
        <v>45.0873</v>
      </c>
      <c r="I613" s="6" t="inlineStr">
        <is>
          <t>BAIXO</t>
        </is>
      </c>
      <c r="J613" s="6" t="inlineStr">
        <is>
          <t>swine</t>
        </is>
      </c>
      <c r="K613" s="6" t="n">
        <v>9</v>
      </c>
    </row>
    <row r="614">
      <c r="A614" s="6" t="inlineStr">
        <is>
          <t>3124500</t>
        </is>
      </c>
      <c r="B614" s="6" t="inlineStr">
        <is>
          <t>3124500</t>
        </is>
      </c>
      <c r="C614" s="4" t="inlineStr">
        <is>
          <t>Pouso Alegre</t>
        </is>
      </c>
      <c r="D614" s="16" t="n">
        <v>11502</v>
      </c>
      <c r="E614" s="8" t="n">
        <v>243.872</v>
      </c>
      <c r="F614" s="7" t="n">
        <v>-22.4553385</v>
      </c>
      <c r="G614" s="7" t="n">
        <v>-46.01571946</v>
      </c>
      <c r="H614" s="8" t="n">
        <v>44.8682</v>
      </c>
      <c r="I614" s="6" t="inlineStr">
        <is>
          <t>BAIXO</t>
        </is>
      </c>
      <c r="J614" s="6" t="inlineStr">
        <is>
          <t>swine</t>
        </is>
      </c>
      <c r="K614" s="6" t="n">
        <v>8</v>
      </c>
    </row>
    <row r="615">
      <c r="A615" s="6" t="inlineStr">
        <is>
          <t>3121001</t>
        </is>
      </c>
      <c r="B615" s="6" t="inlineStr">
        <is>
          <t>3121001</t>
        </is>
      </c>
      <c r="C615" s="4" t="inlineStr">
        <is>
          <t>Teófilo Otoni</t>
        </is>
      </c>
      <c r="D615" s="16" t="n">
        <v>5465</v>
      </c>
      <c r="E615" s="8" t="n">
        <v>310.099</v>
      </c>
      <c r="F615" s="7" t="n">
        <v>-18.477404</v>
      </c>
      <c r="G615" s="7" t="n">
        <v>-43.64117959</v>
      </c>
      <c r="H615" s="8" t="n">
        <v>44.8563</v>
      </c>
      <c r="I615" s="6" t="inlineStr">
        <is>
          <t>BAIXO</t>
        </is>
      </c>
      <c r="J615" s="6" t="inlineStr">
        <is>
          <t>swine</t>
        </is>
      </c>
      <c r="K615" s="6" t="n">
        <v>11</v>
      </c>
    </row>
    <row r="616">
      <c r="A616" s="6" t="inlineStr">
        <is>
          <t>3115201</t>
        </is>
      </c>
      <c r="B616" s="6" t="inlineStr">
        <is>
          <t>3115201</t>
        </is>
      </c>
      <c r="C616" s="4" t="inlineStr">
        <is>
          <t>Barbacena</t>
        </is>
      </c>
      <c r="D616" s="16" t="n">
        <v>3560</v>
      </c>
      <c r="E616" s="8" t="n">
        <v>273.014</v>
      </c>
      <c r="F616" s="7" t="n">
        <v>-21.147605</v>
      </c>
      <c r="G616" s="7" t="n">
        <v>-44.49197937</v>
      </c>
      <c r="H616" s="8" t="n">
        <v>44.8313</v>
      </c>
      <c r="I616" s="6" t="inlineStr">
        <is>
          <t>BAIXO</t>
        </is>
      </c>
      <c r="J616" s="6" t="inlineStr">
        <is>
          <t>swine</t>
        </is>
      </c>
      <c r="K616" s="6" t="n">
        <v>9</v>
      </c>
    </row>
    <row r="617">
      <c r="A617" s="6" t="inlineStr">
        <is>
          <t>3161403</t>
        </is>
      </c>
      <c r="B617" s="6" t="inlineStr">
        <is>
          <t>3161403</t>
        </is>
      </c>
      <c r="C617" s="4" t="inlineStr">
        <is>
          <t>Juíz de Fora</t>
        </is>
      </c>
      <c r="D617" s="16" t="n">
        <v>4800</v>
      </c>
      <c r="E617" s="8" t="n">
        <v>164.613</v>
      </c>
      <c r="F617" s="7" t="n">
        <v>-20.7839155</v>
      </c>
      <c r="G617" s="7" t="n">
        <v>-42.28900383</v>
      </c>
      <c r="H617" s="8" t="n">
        <v>44.8198</v>
      </c>
      <c r="I617" s="6" t="inlineStr">
        <is>
          <t>BAIXO</t>
        </is>
      </c>
      <c r="J617" s="6" t="inlineStr">
        <is>
          <t>swine</t>
        </is>
      </c>
      <c r="K617" s="6" t="n">
        <v>9</v>
      </c>
    </row>
    <row r="618">
      <c r="A618" s="6" t="inlineStr">
        <is>
          <t>3158409</t>
        </is>
      </c>
      <c r="B618" s="6" t="inlineStr">
        <is>
          <t>3158409</t>
        </is>
      </c>
      <c r="C618" s="4" t="inlineStr">
        <is>
          <t>Juíz de Fora</t>
        </is>
      </c>
      <c r="D618" s="16" t="n">
        <v>3489</v>
      </c>
      <c r="E618" s="8" t="n">
        <v>161.486</v>
      </c>
      <c r="F618" s="7" t="n">
        <v>-21.277689</v>
      </c>
      <c r="G618" s="7" t="n">
        <v>-42.54044783</v>
      </c>
      <c r="H618" s="8" t="n">
        <v>44.546</v>
      </c>
      <c r="I618" s="6" t="inlineStr">
        <is>
          <t>BAIXO</t>
        </is>
      </c>
      <c r="J618" s="6" t="inlineStr">
        <is>
          <t>swine</t>
        </is>
      </c>
      <c r="K618" s="6" t="n">
        <v>7</v>
      </c>
    </row>
    <row r="619">
      <c r="A619" s="6" t="inlineStr">
        <is>
          <t>3166956</t>
        </is>
      </c>
      <c r="B619" s="6" t="inlineStr">
        <is>
          <t>3166956</t>
        </is>
      </c>
      <c r="C619" s="4" t="inlineStr">
        <is>
          <t>Montes Claros</t>
        </is>
      </c>
      <c r="D619" s="16" t="n">
        <v>4399</v>
      </c>
      <c r="E619" s="8" t="n">
        <v>551.954</v>
      </c>
      <c r="F619" s="7" t="n">
        <v>-15.870413</v>
      </c>
      <c r="G619" s="7" t="n">
        <v>-42.89653818</v>
      </c>
      <c r="H619" s="8" t="n">
        <v>44.2245</v>
      </c>
      <c r="I619" s="6" t="inlineStr">
        <is>
          <t>BAIXO</t>
        </is>
      </c>
      <c r="J619" s="6" t="inlineStr">
        <is>
          <t>swine</t>
        </is>
      </c>
      <c r="K619" s="6" t="n">
        <v>9</v>
      </c>
    </row>
    <row r="620">
      <c r="A620" s="6" t="inlineStr">
        <is>
          <t>3107703</t>
        </is>
      </c>
      <c r="B620" s="6" t="inlineStr">
        <is>
          <t>3107703</t>
        </is>
      </c>
      <c r="C620" s="4" t="inlineStr">
        <is>
          <t>Belo Horizonte</t>
        </is>
      </c>
      <c r="D620" s="16" t="n">
        <v>5631</v>
      </c>
      <c r="E620" s="8" t="n">
        <v>195.611</v>
      </c>
      <c r="F620" s="7" t="n">
        <v>-19.705964</v>
      </c>
      <c r="G620" s="7" t="n">
        <v>-43.46598647</v>
      </c>
      <c r="H620" s="8" t="n">
        <v>44.106</v>
      </c>
      <c r="I620" s="6" t="inlineStr">
        <is>
          <t>BAIXO</t>
        </is>
      </c>
      <c r="J620" s="6" t="inlineStr">
        <is>
          <t>forestry</t>
        </is>
      </c>
      <c r="K620" s="6" t="n">
        <v>9</v>
      </c>
    </row>
    <row r="621">
      <c r="A621" s="6" t="inlineStr">
        <is>
          <t>3166006</t>
        </is>
      </c>
      <c r="B621" s="6" t="inlineStr">
        <is>
          <t>3166006</t>
        </is>
      </c>
      <c r="C621" s="4" t="inlineStr">
        <is>
          <t>Barbacena</t>
        </is>
      </c>
      <c r="D621" s="16" t="n">
        <v>5483</v>
      </c>
      <c r="E621" s="8" t="n">
        <v>170.749</v>
      </c>
      <c r="F621" s="7" t="n">
        <v>-20.808917</v>
      </c>
      <c r="G621" s="7" t="n">
        <v>-43.3520845</v>
      </c>
      <c r="H621" s="8" t="n">
        <v>44.0979</v>
      </c>
      <c r="I621" s="6" t="inlineStr">
        <is>
          <t>BAIXO</t>
        </is>
      </c>
      <c r="J621" s="6" t="inlineStr">
        <is>
          <t>forestry</t>
        </is>
      </c>
      <c r="K621" s="6" t="n">
        <v>9</v>
      </c>
    </row>
    <row r="622">
      <c r="A622" s="6" t="inlineStr">
        <is>
          <t>3107901</t>
        </is>
      </c>
      <c r="B622" s="6" t="inlineStr">
        <is>
          <t>3107901</t>
        </is>
      </c>
      <c r="C622" s="4" t="inlineStr">
        <is>
          <t>Pouso Alegre</t>
        </is>
      </c>
      <c r="D622" s="16" t="n">
        <v>12649</v>
      </c>
      <c r="E622" s="8" t="n">
        <v>229.845</v>
      </c>
      <c r="F622" s="7" t="n">
        <v>-22.4405245</v>
      </c>
      <c r="G622" s="7" t="n">
        <v>-46.17143929</v>
      </c>
      <c r="H622" s="8" t="n">
        <v>43.9588</v>
      </c>
      <c r="I622" s="6" t="inlineStr">
        <is>
          <t>BAIXO</t>
        </is>
      </c>
      <c r="J622" s="6" t="inlineStr">
        <is>
          <t>swine</t>
        </is>
      </c>
      <c r="K622" s="6" t="n">
        <v>10</v>
      </c>
    </row>
    <row r="623">
      <c r="A623" s="6" t="inlineStr">
        <is>
          <t>3119609</t>
        </is>
      </c>
      <c r="B623" s="6" t="inlineStr">
        <is>
          <t>3119609</t>
        </is>
      </c>
      <c r="C623" s="4" t="inlineStr">
        <is>
          <t>Juíz de Fora</t>
        </is>
      </c>
      <c r="D623" s="16" t="n">
        <v>2762</v>
      </c>
      <c r="E623" s="8" t="n">
        <v>131.511</v>
      </c>
      <c r="F623" s="7" t="n">
        <v>-21.601947</v>
      </c>
      <c r="G623" s="7" t="n">
        <v>-43.28710315</v>
      </c>
      <c r="H623" s="8" t="n">
        <v>43.4692</v>
      </c>
      <c r="I623" s="6" t="inlineStr">
        <is>
          <t>BAIXO</t>
        </is>
      </c>
      <c r="J623" s="6" t="inlineStr">
        <is>
          <t>swine</t>
        </is>
      </c>
      <c r="K623" s="6" t="n">
        <v>7</v>
      </c>
    </row>
    <row r="624">
      <c r="A624" s="6" t="inlineStr">
        <is>
          <t>3140803</t>
        </is>
      </c>
      <c r="B624" s="6" t="inlineStr">
        <is>
          <t>3140803</t>
        </is>
      </c>
      <c r="C624" s="4" t="inlineStr">
        <is>
          <t>Juíz de Fora</t>
        </is>
      </c>
      <c r="D624" s="16" t="n">
        <v>14121</v>
      </c>
      <c r="E624" s="8" t="n">
        <v>157.066</v>
      </c>
      <c r="F624" s="7" t="n">
        <v>-21.869941</v>
      </c>
      <c r="G624" s="7" t="n">
        <v>-43.30698456</v>
      </c>
      <c r="H624" s="8" t="n">
        <v>43.4425</v>
      </c>
      <c r="I624" s="6" t="inlineStr">
        <is>
          <t>BAIXO</t>
        </is>
      </c>
      <c r="J624" s="6" t="inlineStr">
        <is>
          <t>swine</t>
        </is>
      </c>
      <c r="K624" s="6" t="n">
        <v>8</v>
      </c>
    </row>
    <row r="625">
      <c r="A625" s="6" t="inlineStr">
        <is>
          <t>3155207</t>
        </is>
      </c>
      <c r="B625" s="6" t="inlineStr">
        <is>
          <t>3155207</t>
        </is>
      </c>
      <c r="C625" s="4" t="inlineStr">
        <is>
          <t>Barbacena</t>
        </is>
      </c>
      <c r="D625" s="16" t="n">
        <v>5429</v>
      </c>
      <c r="E625" s="8" t="n">
        <v>238.602</v>
      </c>
      <c r="F625" s="7" t="n">
        <v>-20.85902449</v>
      </c>
      <c r="G625" s="7" t="n">
        <v>-43.49779202</v>
      </c>
      <c r="H625" s="8" t="n">
        <v>43.4378</v>
      </c>
      <c r="I625" s="6" t="inlineStr">
        <is>
          <t>BAIXO</t>
        </is>
      </c>
      <c r="J625" s="6" t="inlineStr">
        <is>
          <t>swine</t>
        </is>
      </c>
      <c r="K625" s="6" t="n">
        <v>9</v>
      </c>
    </row>
    <row r="626">
      <c r="A626" s="6" t="inlineStr">
        <is>
          <t>3148400</t>
        </is>
      </c>
      <c r="B626" s="6" t="inlineStr">
        <is>
          <t>3148400</t>
        </is>
      </c>
      <c r="C626" s="4" t="inlineStr">
        <is>
          <t>Governador Valadares</t>
        </is>
      </c>
      <c r="D626" s="16" t="n">
        <v>4389</v>
      </c>
      <c r="E626" s="8" t="n">
        <v>220.564</v>
      </c>
      <c r="F626" s="7" t="n">
        <v>-18.454387</v>
      </c>
      <c r="G626" s="7" t="n">
        <v>-42.86864862</v>
      </c>
      <c r="H626" s="8" t="n">
        <v>43.4199</v>
      </c>
      <c r="I626" s="6" t="inlineStr">
        <is>
          <t>BAIXO</t>
        </is>
      </c>
      <c r="J626" s="6" t="inlineStr">
        <is>
          <t>forestry</t>
        </is>
      </c>
      <c r="K626" s="6" t="n">
        <v>9</v>
      </c>
    </row>
    <row r="627">
      <c r="A627" s="6" t="inlineStr">
        <is>
          <t>3125408</t>
        </is>
      </c>
      <c r="B627" s="6" t="inlineStr">
        <is>
          <t>3125408</t>
        </is>
      </c>
      <c r="C627" s="4" t="inlineStr">
        <is>
          <t>Teófilo Otoni</t>
        </is>
      </c>
      <c r="D627" s="16" t="n">
        <v>5133</v>
      </c>
      <c r="E627" s="8" t="n">
        <v>357.622</v>
      </c>
      <c r="F627" s="7" t="n">
        <v>-18.1474405</v>
      </c>
      <c r="G627" s="7" t="n">
        <v>-43.24054721</v>
      </c>
      <c r="H627" s="8" t="n">
        <v>43.3875</v>
      </c>
      <c r="I627" s="6" t="inlineStr">
        <is>
          <t>BAIXO</t>
        </is>
      </c>
      <c r="J627" s="6" t="inlineStr">
        <is>
          <t>swine</t>
        </is>
      </c>
      <c r="K627" s="6" t="n">
        <v>10</v>
      </c>
    </row>
    <row r="628">
      <c r="A628" s="6" t="inlineStr">
        <is>
          <t>3117801</t>
        </is>
      </c>
      <c r="B628" s="6" t="inlineStr">
        <is>
          <t>3117801</t>
        </is>
      </c>
      <c r="C628" s="4" t="inlineStr">
        <is>
          <t>Pouso Alegre</t>
        </is>
      </c>
      <c r="D628" s="16" t="n">
        <v>10880</v>
      </c>
      <c r="E628" s="8" t="n">
        <v>180.236</v>
      </c>
      <c r="F628" s="7" t="n">
        <v>-22.4417395</v>
      </c>
      <c r="G628" s="7" t="n">
        <v>-45.76658274</v>
      </c>
      <c r="H628" s="8" t="n">
        <v>43.2514</v>
      </c>
      <c r="I628" s="6" t="inlineStr">
        <is>
          <t>BAIXO</t>
        </is>
      </c>
      <c r="J628" s="6" t="inlineStr">
        <is>
          <t>swine</t>
        </is>
      </c>
      <c r="K628" s="6" t="n">
        <v>10</v>
      </c>
    </row>
    <row r="629">
      <c r="A629" s="6" t="inlineStr">
        <is>
          <t>3104452</t>
        </is>
      </c>
      <c r="B629" s="6" t="inlineStr">
        <is>
          <t>3104452</t>
        </is>
      </c>
      <c r="C629" s="4" t="inlineStr">
        <is>
          <t>Teófilo Otoni</t>
        </is>
      </c>
      <c r="D629" s="16" t="n">
        <v>4719</v>
      </c>
      <c r="E629" s="8" t="n">
        <v>243.329</v>
      </c>
      <c r="F629" s="7" t="n">
        <v>-17.854217</v>
      </c>
      <c r="G629" s="7" t="n">
        <v>-42.61246593</v>
      </c>
      <c r="H629" s="8" t="n">
        <v>43.1798</v>
      </c>
      <c r="I629" s="6" t="inlineStr">
        <is>
          <t>BAIXO</t>
        </is>
      </c>
      <c r="J629" s="6" t="inlineStr">
        <is>
          <t>forestry</t>
        </is>
      </c>
      <c r="K629" s="6" t="n">
        <v>9</v>
      </c>
    </row>
    <row r="630">
      <c r="A630" s="6" t="inlineStr">
        <is>
          <t>3133204</t>
        </is>
      </c>
      <c r="B630" s="6" t="inlineStr">
        <is>
          <t>3133204</t>
        </is>
      </c>
      <c r="C630" s="4" t="inlineStr">
        <is>
          <t>Governador Valadares</t>
        </is>
      </c>
      <c r="D630" s="16" t="n">
        <v>11128</v>
      </c>
      <c r="E630" s="8" t="n">
        <v>488.843</v>
      </c>
      <c r="F630" s="7" t="n">
        <v>-19.147859</v>
      </c>
      <c r="G630" s="7" t="n">
        <v>-41.81118663</v>
      </c>
      <c r="H630" s="8" t="n">
        <v>42.9446</v>
      </c>
      <c r="I630" s="6" t="inlineStr">
        <is>
          <t>BAIXO</t>
        </is>
      </c>
      <c r="J630" s="6" t="inlineStr">
        <is>
          <t>swine</t>
        </is>
      </c>
      <c r="K630" s="6" t="n">
        <v>9</v>
      </c>
    </row>
    <row r="631">
      <c r="A631" s="6" t="inlineStr">
        <is>
          <t>3160306</t>
        </is>
      </c>
      <c r="B631" s="6" t="inlineStr">
        <is>
          <t>3160306</t>
        </is>
      </c>
      <c r="C631" s="4" t="inlineStr">
        <is>
          <t>Teófilo Otoni</t>
        </is>
      </c>
      <c r="D631" s="16" t="n">
        <v>10327</v>
      </c>
      <c r="E631" s="8" t="n">
        <v>503.706</v>
      </c>
      <c r="F631" s="7" t="n">
        <v>-16.52731825</v>
      </c>
      <c r="G631" s="7" t="n">
        <v>-40.26588589</v>
      </c>
      <c r="H631" s="8" t="n">
        <v>42.6646</v>
      </c>
      <c r="I631" s="6" t="inlineStr">
        <is>
          <t>BAIXO</t>
        </is>
      </c>
      <c r="J631" s="6" t="inlineStr">
        <is>
          <t>swine</t>
        </is>
      </c>
      <c r="K631" s="6" t="n">
        <v>9</v>
      </c>
    </row>
    <row r="632">
      <c r="A632" s="6" t="inlineStr">
        <is>
          <t>3106903</t>
        </is>
      </c>
      <c r="B632" s="6" t="inlineStr">
        <is>
          <t>3106903</t>
        </is>
      </c>
      <c r="C632" s="4" t="inlineStr">
        <is>
          <t>Juíz de Fora</t>
        </is>
      </c>
      <c r="D632" s="16" t="n">
        <v>13978</v>
      </c>
      <c r="E632" s="8" t="n">
        <v>140.082</v>
      </c>
      <c r="F632" s="7" t="n">
        <v>-21.7318055</v>
      </c>
      <c r="G632" s="7" t="n">
        <v>-43.11851254</v>
      </c>
      <c r="H632" s="8" t="n">
        <v>42.6073</v>
      </c>
      <c r="I632" s="6" t="inlineStr">
        <is>
          <t>BAIXO</t>
        </is>
      </c>
      <c r="J632" s="6" t="inlineStr">
        <is>
          <t>swine</t>
        </is>
      </c>
      <c r="K632" s="6" t="n">
        <v>8</v>
      </c>
    </row>
    <row r="633">
      <c r="A633" s="6" t="inlineStr">
        <is>
          <t>3159407</t>
        </is>
      </c>
      <c r="B633" s="6" t="inlineStr">
        <is>
          <t>3159407</t>
        </is>
      </c>
      <c r="C633" s="4" t="inlineStr">
        <is>
          <t>Barbacena</t>
        </is>
      </c>
      <c r="D633" s="16" t="n">
        <v>3301</v>
      </c>
      <c r="E633" s="8" t="n">
        <v>324.234</v>
      </c>
      <c r="F633" s="7" t="n">
        <v>-21.589235</v>
      </c>
      <c r="G633" s="7" t="n">
        <v>-43.9406416</v>
      </c>
      <c r="H633" s="8" t="n">
        <v>42.5737</v>
      </c>
      <c r="I633" s="6" t="inlineStr">
        <is>
          <t>BAIXO</t>
        </is>
      </c>
      <c r="J633" s="6" t="inlineStr">
        <is>
          <t>swine</t>
        </is>
      </c>
      <c r="K633" s="6" t="n">
        <v>8</v>
      </c>
    </row>
    <row r="634">
      <c r="A634" s="6" t="inlineStr">
        <is>
          <t>3168705</t>
        </is>
      </c>
      <c r="B634" s="6" t="inlineStr">
        <is>
          <t>3168705</t>
        </is>
      </c>
      <c r="C634" s="4" t="inlineStr">
        <is>
          <t>Ipatinga</t>
        </is>
      </c>
      <c r="D634" s="16" t="n">
        <v>81579</v>
      </c>
      <c r="E634" s="8" t="n">
        <v>144.377</v>
      </c>
      <c r="F634" s="7" t="n">
        <v>-19.553777</v>
      </c>
      <c r="G634" s="7" t="n">
        <v>-42.60580506</v>
      </c>
      <c r="H634" s="8" t="n">
        <v>42.4963</v>
      </c>
      <c r="I634" s="6" t="inlineStr">
        <is>
          <t>BAIXO</t>
        </is>
      </c>
      <c r="J634" s="6" t="inlineStr">
        <is>
          <t>rsu_organic</t>
        </is>
      </c>
      <c r="K634" s="6" t="n">
        <v>6</v>
      </c>
    </row>
    <row r="635">
      <c r="A635" s="6" t="inlineStr">
        <is>
          <t>3121704</t>
        </is>
      </c>
      <c r="B635" s="6" t="inlineStr">
        <is>
          <t>3121704</t>
        </is>
      </c>
      <c r="C635" s="4" t="inlineStr">
        <is>
          <t>Juíz de Fora</t>
        </is>
      </c>
      <c r="D635" s="16" t="n">
        <v>3549</v>
      </c>
      <c r="E635" s="8" t="n">
        <v>165.091</v>
      </c>
      <c r="F635" s="7" t="n">
        <v>-20.4862445</v>
      </c>
      <c r="G635" s="7" t="n">
        <v>-43.188314</v>
      </c>
      <c r="H635" s="8" t="n">
        <v>42.2638</v>
      </c>
      <c r="I635" s="6" t="inlineStr">
        <is>
          <t>BAIXO</t>
        </is>
      </c>
      <c r="J635" s="6" t="inlineStr">
        <is>
          <t>swine</t>
        </is>
      </c>
      <c r="K635" s="6" t="n">
        <v>8</v>
      </c>
    </row>
    <row r="636">
      <c r="A636" s="6" t="inlineStr">
        <is>
          <t>3150158</t>
        </is>
      </c>
      <c r="B636" s="6" t="inlineStr">
        <is>
          <t>3150158</t>
        </is>
      </c>
      <c r="C636" s="4" t="inlineStr">
        <is>
          <t>Ipatinga</t>
        </is>
      </c>
      <c r="D636" s="16" t="n">
        <v>8529</v>
      </c>
      <c r="E636" s="8" t="n">
        <v>109.345</v>
      </c>
      <c r="F636" s="7" t="n">
        <v>-19.7624445</v>
      </c>
      <c r="G636" s="7" t="n">
        <v>-42.04770242</v>
      </c>
      <c r="H636" s="8" t="n">
        <v>42.2623</v>
      </c>
      <c r="I636" s="6" t="inlineStr">
        <is>
          <t>BAIXO</t>
        </is>
      </c>
      <c r="J636" s="6" t="inlineStr">
        <is>
          <t>coffee</t>
        </is>
      </c>
      <c r="K636" s="6" t="n">
        <v>10</v>
      </c>
    </row>
    <row r="637">
      <c r="A637" s="6" t="inlineStr">
        <is>
          <t>3136207</t>
        </is>
      </c>
      <c r="B637" s="6" t="inlineStr">
        <is>
          <t>3136207</t>
        </is>
      </c>
      <c r="C637" s="4" t="inlineStr">
        <is>
          <t>Ipatinga</t>
        </is>
      </c>
      <c r="D637" s="16" t="n">
        <v>80187</v>
      </c>
      <c r="E637" s="8" t="n">
        <v>98.23099999999999</v>
      </c>
      <c r="F637" s="7" t="n">
        <v>-19.839609</v>
      </c>
      <c r="G637" s="7" t="n">
        <v>-43.1645509</v>
      </c>
      <c r="H637" s="8" t="n">
        <v>42.1389</v>
      </c>
      <c r="I637" s="6" t="inlineStr">
        <is>
          <t>BAIXO</t>
        </is>
      </c>
      <c r="J637" s="6" t="inlineStr">
        <is>
          <t>rsu_organic</t>
        </is>
      </c>
      <c r="K637" s="6" t="n">
        <v>7</v>
      </c>
    </row>
    <row r="638">
      <c r="A638" s="6" t="inlineStr">
        <is>
          <t>3145406</t>
        </is>
      </c>
      <c r="B638" s="6" t="inlineStr">
        <is>
          <t>3145406</t>
        </is>
      </c>
      <c r="C638" s="4" t="inlineStr">
        <is>
          <t>Juíz de Fora</t>
        </is>
      </c>
      <c r="D638" s="16" t="n">
        <v>1945</v>
      </c>
      <c r="E638" s="8" t="n">
        <v>178.242</v>
      </c>
      <c r="F638" s="7" t="n">
        <v>-21.9092605</v>
      </c>
      <c r="G638" s="7" t="n">
        <v>-43.94730552</v>
      </c>
      <c r="H638" s="8" t="n">
        <v>42.0338</v>
      </c>
      <c r="I638" s="6" t="inlineStr">
        <is>
          <t>BAIXO</t>
        </is>
      </c>
      <c r="J638" s="6" t="inlineStr">
        <is>
          <t>swine</t>
        </is>
      </c>
      <c r="K638" s="6" t="n">
        <v>7</v>
      </c>
    </row>
    <row r="639">
      <c r="A639" s="6" t="inlineStr">
        <is>
          <t>3102506</t>
        </is>
      </c>
      <c r="B639" s="6" t="inlineStr">
        <is>
          <t>3102506</t>
        </is>
      </c>
      <c r="C639" s="4" t="inlineStr">
        <is>
          <t>Juíz de Fora</t>
        </is>
      </c>
      <c r="D639" s="16" t="n">
        <v>4541</v>
      </c>
      <c r="E639" s="8" t="n">
        <v>136.186</v>
      </c>
      <c r="F639" s="7" t="n">
        <v>-20.529199</v>
      </c>
      <c r="G639" s="7" t="n">
        <v>-42.80079144</v>
      </c>
      <c r="H639" s="8" t="n">
        <v>41.9673</v>
      </c>
      <c r="I639" s="6" t="inlineStr">
        <is>
          <t>BAIXO</t>
        </is>
      </c>
      <c r="J639" s="6" t="inlineStr">
        <is>
          <t>swine</t>
        </is>
      </c>
      <c r="K639" s="6" t="n">
        <v>9</v>
      </c>
    </row>
    <row r="640">
      <c r="A640" s="6" t="inlineStr">
        <is>
          <t>3144409</t>
        </is>
      </c>
      <c r="B640" s="6" t="inlineStr">
        <is>
          <t>3144409</t>
        </is>
      </c>
      <c r="C640" s="4" t="inlineStr">
        <is>
          <t>Pouso Alegre</t>
        </is>
      </c>
      <c r="D640" s="16" t="n">
        <v>4691</v>
      </c>
      <c r="E640" s="8" t="n">
        <v>188.719</v>
      </c>
      <c r="F640" s="7" t="n">
        <v>-22.1439305</v>
      </c>
      <c r="G640" s="7" t="n">
        <v>-45.56056446</v>
      </c>
      <c r="H640" s="8" t="n">
        <v>41.6722</v>
      </c>
      <c r="I640" s="6" t="inlineStr">
        <is>
          <t>BAIXO</t>
        </is>
      </c>
      <c r="J640" s="6" t="inlineStr">
        <is>
          <t>swine</t>
        </is>
      </c>
      <c r="K640" s="6" t="n">
        <v>9</v>
      </c>
    </row>
    <row r="641">
      <c r="A641" s="6" t="inlineStr">
        <is>
          <t>3128808</t>
        </is>
      </c>
      <c r="B641" s="6" t="inlineStr">
        <is>
          <t>3128808</t>
        </is>
      </c>
      <c r="C641" s="4" t="inlineStr">
        <is>
          <t>Juíz de Fora</t>
        </is>
      </c>
      <c r="D641" s="16" t="n">
        <v>7131</v>
      </c>
      <c r="E641" s="8" t="n">
        <v>158.375</v>
      </c>
      <c r="F641" s="7" t="n">
        <v>-21.182279</v>
      </c>
      <c r="G641" s="7" t="n">
        <v>-42.77173608</v>
      </c>
      <c r="H641" s="8" t="n">
        <v>41.651</v>
      </c>
      <c r="I641" s="6" t="inlineStr">
        <is>
          <t>BAIXO</t>
        </is>
      </c>
      <c r="J641" s="6" t="inlineStr">
        <is>
          <t>swine</t>
        </is>
      </c>
      <c r="K641" s="6" t="n">
        <v>9</v>
      </c>
    </row>
    <row r="642">
      <c r="A642" s="6" t="inlineStr">
        <is>
          <t>3111150</t>
        </is>
      </c>
      <c r="B642" s="6" t="inlineStr">
        <is>
          <t>3111150</t>
        </is>
      </c>
      <c r="C642" s="4" t="inlineStr">
        <is>
          <t>Montes Claros</t>
        </is>
      </c>
      <c r="D642" s="16" t="n">
        <v>3714</v>
      </c>
      <c r="E642" s="8" t="n">
        <v>505.914</v>
      </c>
      <c r="F642" s="7" t="n">
        <v>-16.516494</v>
      </c>
      <c r="G642" s="7" t="n">
        <v>-44.76519378</v>
      </c>
      <c r="H642" s="8" t="n">
        <v>41.5872</v>
      </c>
      <c r="I642" s="6" t="inlineStr">
        <is>
          <t>BAIXO</t>
        </is>
      </c>
      <c r="J642" s="6" t="inlineStr">
        <is>
          <t>swine</t>
        </is>
      </c>
      <c r="K642" s="6" t="n">
        <v>8</v>
      </c>
    </row>
    <row r="643">
      <c r="A643" s="6" t="inlineStr">
        <is>
          <t>3169505</t>
        </is>
      </c>
      <c r="B643" s="6" t="inlineStr">
        <is>
          <t>3169505</t>
        </is>
      </c>
      <c r="C643" s="4" t="inlineStr">
        <is>
          <t>Governador Valadares</t>
        </is>
      </c>
      <c r="D643" s="16" t="n">
        <v>5886</v>
      </c>
      <c r="E643" s="8" t="n">
        <v>500.073</v>
      </c>
      <c r="F643" s="7" t="n">
        <v>-19.038689</v>
      </c>
      <c r="G643" s="7" t="n">
        <v>-41.63450784</v>
      </c>
      <c r="H643" s="8" t="n">
        <v>41.2853</v>
      </c>
      <c r="I643" s="6" t="inlineStr">
        <is>
          <t>BAIXO</t>
        </is>
      </c>
      <c r="J643" s="6" t="inlineStr">
        <is>
          <t>swine</t>
        </is>
      </c>
      <c r="K643" s="6" t="n">
        <v>7</v>
      </c>
    </row>
    <row r="644">
      <c r="A644" s="6" t="inlineStr">
        <is>
          <t>3126901</t>
        </is>
      </c>
      <c r="B644" s="6" t="inlineStr">
        <is>
          <t>3126901</t>
        </is>
      </c>
      <c r="C644" s="4" t="inlineStr">
        <is>
          <t>Governador Valadares</t>
        </is>
      </c>
      <c r="D644" s="16" t="n">
        <v>8226</v>
      </c>
      <c r="E644" s="8" t="n">
        <v>469.557</v>
      </c>
      <c r="F644" s="7" t="n">
        <v>-18.522203</v>
      </c>
      <c r="G644" s="7" t="n">
        <v>-41.91387278</v>
      </c>
      <c r="H644" s="8" t="n">
        <v>41.0725</v>
      </c>
      <c r="I644" s="6" t="inlineStr">
        <is>
          <t>BAIXO</t>
        </is>
      </c>
      <c r="J644" s="6" t="inlineStr">
        <is>
          <t>swine</t>
        </is>
      </c>
      <c r="K644" s="6" t="n">
        <v>7</v>
      </c>
    </row>
    <row r="645">
      <c r="A645" s="6" t="inlineStr">
        <is>
          <t>3135076</t>
        </is>
      </c>
      <c r="B645" s="6" t="inlineStr">
        <is>
          <t>3135076</t>
        </is>
      </c>
      <c r="C645" s="4" t="inlineStr">
        <is>
          <t>Governador Valadares</t>
        </is>
      </c>
      <c r="D645" s="16" t="n">
        <v>4296</v>
      </c>
      <c r="E645" s="8" t="n">
        <v>517.095</v>
      </c>
      <c r="F645" s="7" t="n">
        <v>-18.4783015</v>
      </c>
      <c r="G645" s="7" t="n">
        <v>-41.72010009</v>
      </c>
      <c r="H645" s="8" t="n">
        <v>41.0456</v>
      </c>
      <c r="I645" s="6" t="inlineStr">
        <is>
          <t>BAIXO</t>
        </is>
      </c>
      <c r="J645" s="6" t="inlineStr">
        <is>
          <t>swine</t>
        </is>
      </c>
      <c r="K645" s="6" t="n">
        <v>6</v>
      </c>
    </row>
    <row r="646">
      <c r="A646" s="6" t="inlineStr">
        <is>
          <t>3118106</t>
        </is>
      </c>
      <c r="B646" s="6" t="inlineStr">
        <is>
          <t>3118106</t>
        </is>
      </c>
      <c r="C646" s="4" t="inlineStr">
        <is>
          <t>Belo Horizonte</t>
        </is>
      </c>
      <c r="D646" s="16" t="n">
        <v>4831</v>
      </c>
      <c r="E646" s="8" t="n">
        <v>405.671</v>
      </c>
      <c r="F646" s="7" t="n">
        <v>-18.9014465</v>
      </c>
      <c r="G646" s="7" t="n">
        <v>-43.6848477</v>
      </c>
      <c r="H646" s="8" t="n">
        <v>40.9918</v>
      </c>
      <c r="I646" s="6" t="inlineStr">
        <is>
          <t>BAIXO</t>
        </is>
      </c>
      <c r="J646" s="6" t="inlineStr">
        <is>
          <t>swine</t>
        </is>
      </c>
      <c r="K646" s="6" t="n">
        <v>9</v>
      </c>
    </row>
    <row r="647">
      <c r="A647" s="6" t="inlineStr">
        <is>
          <t>3141009</t>
        </is>
      </c>
      <c r="B647" s="6" t="inlineStr">
        <is>
          <t>3141009</t>
        </is>
      </c>
      <c r="C647" s="4" t="inlineStr">
        <is>
          <t>Montes Claros</t>
        </is>
      </c>
      <c r="D647" s="16" t="n">
        <v>12038</v>
      </c>
      <c r="E647" s="8" t="n">
        <v>472.245</v>
      </c>
      <c r="F647" s="7" t="n">
        <v>-15.456889</v>
      </c>
      <c r="G647" s="7" t="n">
        <v>-42.84036744</v>
      </c>
      <c r="H647" s="8" t="n">
        <v>40.99</v>
      </c>
      <c r="I647" s="6" t="inlineStr">
        <is>
          <t>BAIXO</t>
        </is>
      </c>
      <c r="J647" s="6" t="inlineStr">
        <is>
          <t>swine</t>
        </is>
      </c>
      <c r="K647" s="6" t="n">
        <v>7</v>
      </c>
    </row>
    <row r="648">
      <c r="A648" s="6" t="inlineStr">
        <is>
          <t>3116704</t>
        </is>
      </c>
      <c r="B648" s="6" t="inlineStr">
        <is>
          <t>3116704</t>
        </is>
      </c>
      <c r="C648" s="4" t="inlineStr">
        <is>
          <t>Juíz de Fora</t>
        </is>
      </c>
      <c r="D648" s="16" t="n">
        <v>7117</v>
      </c>
      <c r="E648" s="8" t="n">
        <v>106.875</v>
      </c>
      <c r="F648" s="7" t="n">
        <v>-20.843005</v>
      </c>
      <c r="G648" s="7" t="n">
        <v>-42.79933966</v>
      </c>
      <c r="H648" s="8" t="n">
        <v>40.8732</v>
      </c>
      <c r="I648" s="6" t="inlineStr">
        <is>
          <t>BAIXO</t>
        </is>
      </c>
      <c r="J648" s="6" t="inlineStr">
        <is>
          <t>swine</t>
        </is>
      </c>
      <c r="K648" s="6" t="n">
        <v>9</v>
      </c>
    </row>
    <row r="649">
      <c r="A649" s="6" t="inlineStr">
        <is>
          <t>3140530</t>
        </is>
      </c>
      <c r="B649" s="6" t="inlineStr">
        <is>
          <t>3140530</t>
        </is>
      </c>
      <c r="C649" s="4" t="inlineStr">
        <is>
          <t>Juíz de Fora</t>
        </is>
      </c>
      <c r="D649" s="16" t="n">
        <v>8396</v>
      </c>
      <c r="E649" s="8" t="n">
        <v>113.268</v>
      </c>
      <c r="F649" s="7" t="n">
        <v>-20.254472</v>
      </c>
      <c r="G649" s="7" t="n">
        <v>-41.83723228</v>
      </c>
      <c r="H649" s="8" t="n">
        <v>40.7655</v>
      </c>
      <c r="I649" s="6" t="inlineStr">
        <is>
          <t>BAIXO</t>
        </is>
      </c>
      <c r="J649" s="6" t="inlineStr">
        <is>
          <t>swine</t>
        </is>
      </c>
      <c r="K649" s="6" t="n">
        <v>8</v>
      </c>
    </row>
    <row r="650">
      <c r="A650" s="6" t="inlineStr">
        <is>
          <t>3167806</t>
        </is>
      </c>
      <c r="B650" s="6" t="inlineStr">
        <is>
          <t>3167806</t>
        </is>
      </c>
      <c r="C650" s="4" t="inlineStr">
        <is>
          <t>Pouso Alegre</t>
        </is>
      </c>
      <c r="D650" s="16" t="n">
        <v>5613</v>
      </c>
      <c r="E650" s="8" t="n">
        <v>196.866</v>
      </c>
      <c r="F650" s="7" t="n">
        <v>-22.030165</v>
      </c>
      <c r="G650" s="7" t="n">
        <v>-45.03148838</v>
      </c>
      <c r="H650" s="8" t="n">
        <v>40.734</v>
      </c>
      <c r="I650" s="6" t="inlineStr">
        <is>
          <t>BAIXO</t>
        </is>
      </c>
      <c r="J650" s="6" t="inlineStr">
        <is>
          <t>swine</t>
        </is>
      </c>
      <c r="K650" s="6" t="n">
        <v>10</v>
      </c>
    </row>
    <row r="651">
      <c r="A651" s="6" t="inlineStr">
        <is>
          <t>3106408</t>
        </is>
      </c>
      <c r="B651" s="6" t="inlineStr">
        <is>
          <t>3106408</t>
        </is>
      </c>
      <c r="C651" s="4" t="inlineStr">
        <is>
          <t>Barbacena</t>
        </is>
      </c>
      <c r="D651" s="16" t="n">
        <v>8627</v>
      </c>
      <c r="E651" s="8" t="n">
        <v>364.94</v>
      </c>
      <c r="F651" s="7" t="n">
        <v>-20.4052397</v>
      </c>
      <c r="G651" s="7" t="n">
        <v>-44.04818766</v>
      </c>
      <c r="H651" s="8" t="n">
        <v>40.6895</v>
      </c>
      <c r="I651" s="6" t="inlineStr">
        <is>
          <t>BAIXO</t>
        </is>
      </c>
      <c r="J651" s="6" t="inlineStr">
        <is>
          <t>swine</t>
        </is>
      </c>
      <c r="K651" s="6" t="n">
        <v>9</v>
      </c>
    </row>
    <row r="652">
      <c r="A652" s="6" t="inlineStr">
        <is>
          <t>3133907</t>
        </is>
      </c>
      <c r="B652" s="6" t="inlineStr">
        <is>
          <t>3133907</t>
        </is>
      </c>
      <c r="C652" s="4" t="inlineStr">
        <is>
          <t>Barbacena</t>
        </is>
      </c>
      <c r="D652" s="16" t="n">
        <v>5642</v>
      </c>
      <c r="E652" s="8" t="n">
        <v>284.22</v>
      </c>
      <c r="F652" s="7" t="n">
        <v>-20.678016</v>
      </c>
      <c r="G652" s="7" t="n">
        <v>-43.61965806</v>
      </c>
      <c r="H652" s="8" t="n">
        <v>40.6471</v>
      </c>
      <c r="I652" s="6" t="inlineStr">
        <is>
          <t>BAIXO</t>
        </is>
      </c>
      <c r="J652" s="6" t="inlineStr">
        <is>
          <t>swine</t>
        </is>
      </c>
      <c r="K652" s="6" t="n">
        <v>8</v>
      </c>
    </row>
    <row r="653">
      <c r="A653" s="6" t="inlineStr">
        <is>
          <t>3151305</t>
        </is>
      </c>
      <c r="B653" s="6" t="inlineStr">
        <is>
          <t>3151305</t>
        </is>
      </c>
      <c r="C653" s="4" t="inlineStr">
        <is>
          <t>Juíz de Fora</t>
        </is>
      </c>
      <c r="D653" s="16" t="n">
        <v>11610</v>
      </c>
      <c r="E653" s="8" t="n">
        <v>144.289</v>
      </c>
      <c r="F653" s="7" t="n">
        <v>-21.2615295</v>
      </c>
      <c r="G653" s="7" t="n">
        <v>-43.0358912</v>
      </c>
      <c r="H653" s="8" t="n">
        <v>40.2583</v>
      </c>
      <c r="I653" s="6" t="inlineStr">
        <is>
          <t>BAIXO</t>
        </is>
      </c>
      <c r="J653" s="6" t="inlineStr">
        <is>
          <t>swine</t>
        </is>
      </c>
      <c r="K653" s="6" t="n">
        <v>8</v>
      </c>
    </row>
    <row r="654">
      <c r="A654" s="6" t="inlineStr">
        <is>
          <t>3117900</t>
        </is>
      </c>
      <c r="B654" s="6" t="inlineStr">
        <is>
          <t>3117900</t>
        </is>
      </c>
      <c r="C654" s="4" t="inlineStr">
        <is>
          <t>Pouso Alegre</t>
        </is>
      </c>
      <c r="D654" s="16" t="n">
        <v>11083</v>
      </c>
      <c r="E654" s="8" t="n">
        <v>205.125</v>
      </c>
      <c r="F654" s="7" t="n">
        <v>-22.133417</v>
      </c>
      <c r="G654" s="7" t="n">
        <v>-46.03392259</v>
      </c>
      <c r="H654" s="8" t="n">
        <v>40.026</v>
      </c>
      <c r="I654" s="6" t="inlineStr">
        <is>
          <t>BAIXO</t>
        </is>
      </c>
      <c r="J654" s="6" t="inlineStr">
        <is>
          <t>swine</t>
        </is>
      </c>
      <c r="K654" s="6" t="n">
        <v>11</v>
      </c>
    </row>
    <row r="655">
      <c r="A655" s="6" t="inlineStr">
        <is>
          <t>3104403</t>
        </is>
      </c>
      <c r="B655" s="6" t="inlineStr">
        <is>
          <t>3104403</t>
        </is>
      </c>
      <c r="C655" s="4" t="inlineStr">
        <is>
          <t>Juíz de Fora</t>
        </is>
      </c>
      <c r="D655" s="16" t="n">
        <v>2688</v>
      </c>
      <c r="E655" s="8" t="n">
        <v>159.378</v>
      </c>
      <c r="F655" s="7" t="n">
        <v>-21.627471</v>
      </c>
      <c r="G655" s="7" t="n">
        <v>-42.81252535</v>
      </c>
      <c r="H655" s="8" t="n">
        <v>39.9736</v>
      </c>
      <c r="I655" s="6" t="inlineStr">
        <is>
          <t>BAIXO</t>
        </is>
      </c>
      <c r="J655" s="6" t="inlineStr">
        <is>
          <t>swine</t>
        </is>
      </c>
      <c r="K655" s="6" t="n">
        <v>8</v>
      </c>
    </row>
    <row r="656">
      <c r="A656" s="6" t="inlineStr">
        <is>
          <t>3129301</t>
        </is>
      </c>
      <c r="B656" s="6" t="inlineStr">
        <is>
          <t>3129301</t>
        </is>
      </c>
      <c r="C656" s="4" t="inlineStr">
        <is>
          <t>Ipatinga</t>
        </is>
      </c>
      <c r="D656" s="16" t="n">
        <v>12030</v>
      </c>
      <c r="E656" s="8" t="n">
        <v>340.994</v>
      </c>
      <c r="F656" s="7" t="n">
        <v>-19.351228</v>
      </c>
      <c r="G656" s="7" t="n">
        <v>-42.24588838</v>
      </c>
      <c r="H656" s="8" t="n">
        <v>39.6326</v>
      </c>
      <c r="I656" s="6" t="inlineStr">
        <is>
          <t>BAIXO</t>
        </is>
      </c>
      <c r="J656" s="6" t="inlineStr">
        <is>
          <t>swine</t>
        </is>
      </c>
      <c r="K656" s="6" t="n">
        <v>9</v>
      </c>
    </row>
    <row r="657">
      <c r="A657" s="6" t="inlineStr">
        <is>
          <t>3116803</t>
        </is>
      </c>
      <c r="B657" s="6" t="inlineStr">
        <is>
          <t>3116803</t>
        </is>
      </c>
      <c r="C657" s="4" t="inlineStr">
        <is>
          <t>Governador Valadares</t>
        </is>
      </c>
      <c r="D657" s="16" t="n">
        <v>8163</v>
      </c>
      <c r="E657" s="8" t="n">
        <v>347.716</v>
      </c>
      <c r="F657" s="7" t="n">
        <v>-18.236649</v>
      </c>
      <c r="G657" s="7" t="n">
        <v>-42.87455365</v>
      </c>
      <c r="H657" s="8" t="n">
        <v>39.5945</v>
      </c>
      <c r="I657" s="6" t="inlineStr">
        <is>
          <t>BAIXO</t>
        </is>
      </c>
      <c r="J657" s="6" t="inlineStr">
        <is>
          <t>swine</t>
        </is>
      </c>
      <c r="K657" s="6" t="n">
        <v>9</v>
      </c>
    </row>
    <row r="658">
      <c r="A658" s="6" t="inlineStr">
        <is>
          <t>3163508</t>
        </is>
      </c>
      <c r="B658" s="6" t="inlineStr">
        <is>
          <t>3163508</t>
        </is>
      </c>
      <c r="C658" s="4" t="inlineStr">
        <is>
          <t>Governador Valadares</t>
        </is>
      </c>
      <c r="D658" s="16" t="n">
        <v>6197</v>
      </c>
      <c r="E658" s="8" t="n">
        <v>345.146</v>
      </c>
      <c r="F658" s="7" t="n">
        <v>-18.2435515</v>
      </c>
      <c r="G658" s="7" t="n">
        <v>-42.68202757</v>
      </c>
      <c r="H658" s="8" t="n">
        <v>39.5061</v>
      </c>
      <c r="I658" s="6" t="inlineStr">
        <is>
          <t>BAIXO</t>
        </is>
      </c>
      <c r="J658" s="6" t="inlineStr">
        <is>
          <t>swine</t>
        </is>
      </c>
      <c r="K658" s="6" t="n">
        <v>10</v>
      </c>
    </row>
    <row r="659">
      <c r="A659" s="6" t="inlineStr">
        <is>
          <t>3130002</t>
        </is>
      </c>
      <c r="B659" s="6" t="inlineStr">
        <is>
          <t>3130002</t>
        </is>
      </c>
      <c r="C659" s="4" t="inlineStr">
        <is>
          <t>Varginha</t>
        </is>
      </c>
      <c r="D659" s="16" t="n">
        <v>2698</v>
      </c>
      <c r="E659" s="8" t="n">
        <v>153.106</v>
      </c>
      <c r="F659" s="7" t="n">
        <v>-21.1703505</v>
      </c>
      <c r="G659" s="7" t="n">
        <v>-44.77906369</v>
      </c>
      <c r="H659" s="8" t="n">
        <v>39.4071</v>
      </c>
      <c r="I659" s="6" t="inlineStr">
        <is>
          <t>BAIXO</t>
        </is>
      </c>
      <c r="J659" s="6" t="inlineStr">
        <is>
          <t>swine</t>
        </is>
      </c>
      <c r="K659" s="6" t="n">
        <v>10</v>
      </c>
    </row>
    <row r="660">
      <c r="A660" s="6" t="inlineStr">
        <is>
          <t>3126505</t>
        </is>
      </c>
      <c r="B660" s="6" t="inlineStr">
        <is>
          <t>3126505</t>
        </is>
      </c>
      <c r="C660" s="4" t="inlineStr">
        <is>
          <t>Teófilo Otoni</t>
        </is>
      </c>
      <c r="D660" s="16" t="n">
        <v>7366</v>
      </c>
      <c r="E660" s="8" t="n">
        <v>461.481</v>
      </c>
      <c r="F660" s="7" t="n">
        <v>-16.986824</v>
      </c>
      <c r="G660" s="7" t="n">
        <v>-42.32455421</v>
      </c>
      <c r="H660" s="8" t="n">
        <v>39.2949</v>
      </c>
      <c r="I660" s="6" t="inlineStr">
        <is>
          <t>BAIXO</t>
        </is>
      </c>
      <c r="J660" s="6" t="inlineStr">
        <is>
          <t>swine</t>
        </is>
      </c>
      <c r="K660" s="6" t="n">
        <v>8</v>
      </c>
    </row>
    <row r="661">
      <c r="A661" s="6" t="inlineStr">
        <is>
          <t>3138682</t>
        </is>
      </c>
      <c r="B661" s="6" t="inlineStr">
        <is>
          <t>3138682</t>
        </is>
      </c>
      <c r="C661" s="4" t="inlineStr">
        <is>
          <t>Montes Claros</t>
        </is>
      </c>
      <c r="D661" s="16" t="n">
        <v>6210</v>
      </c>
      <c r="E661" s="8" t="n">
        <v>411.714</v>
      </c>
      <c r="F661" s="7" t="n">
        <v>-16.1972775</v>
      </c>
      <c r="G661" s="7" t="n">
        <v>-44.60752115</v>
      </c>
      <c r="H661" s="8" t="n">
        <v>39.2242</v>
      </c>
      <c r="I661" s="6" t="inlineStr">
        <is>
          <t>BAIXO</t>
        </is>
      </c>
      <c r="J661" s="6" t="inlineStr">
        <is>
          <t>swine</t>
        </is>
      </c>
      <c r="K661" s="6" t="n">
        <v>9</v>
      </c>
    </row>
    <row r="662">
      <c r="A662" s="6" t="inlineStr">
        <is>
          <t>3146255</t>
        </is>
      </c>
      <c r="B662" s="6" t="inlineStr">
        <is>
          <t>3146255</t>
        </is>
      </c>
      <c r="C662" s="4" t="inlineStr">
        <is>
          <t>Montes Claros</t>
        </is>
      </c>
      <c r="D662" s="16" t="n">
        <v>5058</v>
      </c>
      <c r="E662" s="8" t="n">
        <v>446.275</v>
      </c>
      <c r="F662" s="7" t="n">
        <v>-16.309127</v>
      </c>
      <c r="G662" s="7" t="n">
        <v>-42.55583233</v>
      </c>
      <c r="H662" s="8" t="n">
        <v>39.1255</v>
      </c>
      <c r="I662" s="6" t="inlineStr">
        <is>
          <t>BAIXO</t>
        </is>
      </c>
      <c r="J662" s="6" t="inlineStr">
        <is>
          <t>swine</t>
        </is>
      </c>
      <c r="K662" s="6" t="n">
        <v>8</v>
      </c>
    </row>
    <row r="663">
      <c r="A663" s="6" t="inlineStr">
        <is>
          <t>3110103</t>
        </is>
      </c>
      <c r="B663" s="6" t="inlineStr">
        <is>
          <t>3110103</t>
        </is>
      </c>
      <c r="C663" s="4" t="inlineStr">
        <is>
          <t>Juíz de Fora</t>
        </is>
      </c>
      <c r="D663" s="16" t="n">
        <v>5304</v>
      </c>
      <c r="E663" s="8" t="n">
        <v>106.465</v>
      </c>
      <c r="F663" s="7" t="n">
        <v>-20.7292828</v>
      </c>
      <c r="G663" s="7" t="n">
        <v>-41.91545955</v>
      </c>
      <c r="H663" s="8" t="n">
        <v>39.0296</v>
      </c>
      <c r="I663" s="6" t="inlineStr">
        <is>
          <t>BAIXO</t>
        </is>
      </c>
      <c r="J663" s="6" t="inlineStr">
        <is>
          <t>swine</t>
        </is>
      </c>
      <c r="K663" s="6" t="n">
        <v>8</v>
      </c>
    </row>
    <row r="664">
      <c r="A664" s="6" t="inlineStr">
        <is>
          <t>3167301</t>
        </is>
      </c>
      <c r="B664" s="6" t="inlineStr">
        <is>
          <t>3167301</t>
        </is>
      </c>
      <c r="C664" s="4" t="inlineStr">
        <is>
          <t>Juíz de Fora</t>
        </is>
      </c>
      <c r="D664" s="16" t="n">
        <v>2323</v>
      </c>
      <c r="E664" s="8" t="n">
        <v>157.456</v>
      </c>
      <c r="F664" s="7" t="n">
        <v>-21.1456605</v>
      </c>
      <c r="G664" s="7" t="n">
        <v>-43.2047021</v>
      </c>
      <c r="H664" s="8" t="n">
        <v>38.8335</v>
      </c>
      <c r="I664" s="6" t="inlineStr">
        <is>
          <t>BAIXO</t>
        </is>
      </c>
      <c r="J664" s="6" t="inlineStr">
        <is>
          <t>swine</t>
        </is>
      </c>
      <c r="K664" s="6" t="n">
        <v>9</v>
      </c>
    </row>
    <row r="665">
      <c r="A665" s="6" t="inlineStr">
        <is>
          <t>3115458</t>
        </is>
      </c>
      <c r="B665" s="6" t="inlineStr">
        <is>
          <t>3115458</t>
        </is>
      </c>
      <c r="C665" s="4" t="inlineStr">
        <is>
          <t>Teófilo Otoni</t>
        </is>
      </c>
      <c r="D665" s="16" t="n">
        <v>7030</v>
      </c>
      <c r="E665" s="8" t="n">
        <v>419.38</v>
      </c>
      <c r="F665" s="7" t="n">
        <v>-17.366038</v>
      </c>
      <c r="G665" s="7" t="n">
        <v>-41.47457635</v>
      </c>
      <c r="H665" s="8" t="n">
        <v>38.6962</v>
      </c>
      <c r="I665" s="6" t="inlineStr">
        <is>
          <t>BAIXO</t>
        </is>
      </c>
      <c r="J665" s="6" t="inlineStr">
        <is>
          <t>swine</t>
        </is>
      </c>
      <c r="K665" s="6" t="n">
        <v>10</v>
      </c>
    </row>
    <row r="666">
      <c r="A666" s="6" t="inlineStr">
        <is>
          <t>3115904</t>
        </is>
      </c>
      <c r="B666" s="6" t="inlineStr">
        <is>
          <t>3115904</t>
        </is>
      </c>
      <c r="C666" s="4" t="inlineStr">
        <is>
          <t>Juíz de Fora</t>
        </is>
      </c>
      <c r="D666" s="16" t="n">
        <v>3075</v>
      </c>
      <c r="E666" s="8" t="n">
        <v>152.807</v>
      </c>
      <c r="F666" s="7" t="n">
        <v>-21.689491</v>
      </c>
      <c r="G666" s="7" t="n">
        <v>-43.20049842</v>
      </c>
      <c r="H666" s="8" t="n">
        <v>38.6902</v>
      </c>
      <c r="I666" s="6" t="inlineStr">
        <is>
          <t>BAIXO</t>
        </is>
      </c>
      <c r="J666" s="6" t="inlineStr">
        <is>
          <t>swine</t>
        </is>
      </c>
      <c r="K666" s="6" t="n">
        <v>8</v>
      </c>
    </row>
    <row r="667">
      <c r="A667" s="6" t="inlineStr">
        <is>
          <t>3105202</t>
        </is>
      </c>
      <c r="B667" s="6" t="inlineStr">
        <is>
          <t>3105202</t>
        </is>
      </c>
      <c r="C667" s="4" t="inlineStr">
        <is>
          <t>Teófilo Otoni</t>
        </is>
      </c>
      <c r="D667" s="16" t="n">
        <v>4741</v>
      </c>
      <c r="E667" s="8" t="n">
        <v>483.789</v>
      </c>
      <c r="F667" s="7" t="n">
        <v>-15.863951</v>
      </c>
      <c r="G667" s="7" t="n">
        <v>-40.52698012</v>
      </c>
      <c r="H667" s="8" t="n">
        <v>38.6053</v>
      </c>
      <c r="I667" s="6" t="inlineStr">
        <is>
          <t>BAIXO</t>
        </is>
      </c>
      <c r="J667" s="6" t="inlineStr">
        <is>
          <t>swine</t>
        </is>
      </c>
      <c r="K667" s="6" t="n">
        <v>8</v>
      </c>
    </row>
    <row r="668">
      <c r="A668" s="6" t="inlineStr">
        <is>
          <t>3132602</t>
        </is>
      </c>
      <c r="B668" s="6" t="inlineStr">
        <is>
          <t>3132602</t>
        </is>
      </c>
      <c r="C668" s="4" t="inlineStr">
        <is>
          <t>Juíz de Fora</t>
        </is>
      </c>
      <c r="D668" s="16" t="n">
        <v>3690</v>
      </c>
      <c r="E668" s="8" t="n">
        <v>94.568</v>
      </c>
      <c r="F668" s="7" t="n">
        <v>-21.426905</v>
      </c>
      <c r="G668" s="7" t="n">
        <v>-42.84648893</v>
      </c>
      <c r="H668" s="8" t="n">
        <v>38.4482</v>
      </c>
      <c r="I668" s="6" t="inlineStr">
        <is>
          <t>BAIXO</t>
        </is>
      </c>
      <c r="J668" s="6" t="inlineStr">
        <is>
          <t>swine</t>
        </is>
      </c>
      <c r="K668" s="6" t="n">
        <v>9</v>
      </c>
    </row>
    <row r="669">
      <c r="A669" s="6" t="inlineStr">
        <is>
          <t>3135902</t>
        </is>
      </c>
      <c r="B669" s="6" t="inlineStr">
        <is>
          <t>3135902</t>
        </is>
      </c>
      <c r="C669" s="4" t="inlineStr">
        <is>
          <t>Pouso Alegre</t>
        </is>
      </c>
      <c r="D669" s="16" t="n">
        <v>5138</v>
      </c>
      <c r="E669" s="8" t="n">
        <v>153.852</v>
      </c>
      <c r="F669" s="7" t="n">
        <v>-22.007635</v>
      </c>
      <c r="G669" s="7" t="n">
        <v>-45.26621075</v>
      </c>
      <c r="H669" s="8" t="n">
        <v>38.4051</v>
      </c>
      <c r="I669" s="6" t="inlineStr">
        <is>
          <t>BAIXO</t>
        </is>
      </c>
      <c r="J669" s="6" t="inlineStr">
        <is>
          <t>swine</t>
        </is>
      </c>
      <c r="K669" s="6" t="n">
        <v>10</v>
      </c>
    </row>
    <row r="670">
      <c r="A670" s="6" t="inlineStr">
        <is>
          <t>3139904</t>
        </is>
      </c>
      <c r="B670" s="6" t="inlineStr">
        <is>
          <t>3139904</t>
        </is>
      </c>
      <c r="C670" s="4" t="inlineStr">
        <is>
          <t>Pouso Alegre</t>
        </is>
      </c>
      <c r="D670" s="16" t="n">
        <v>14247</v>
      </c>
      <c r="E670" s="8" t="n">
        <v>202.898</v>
      </c>
      <c r="F670" s="7" t="n">
        <v>-22.3177275</v>
      </c>
      <c r="G670" s="7" t="n">
        <v>-45.30912679</v>
      </c>
      <c r="H670" s="8" t="n">
        <v>38.3923</v>
      </c>
      <c r="I670" s="6" t="inlineStr">
        <is>
          <t>BAIXO</t>
        </is>
      </c>
      <c r="J670" s="6" t="inlineStr">
        <is>
          <t>swine</t>
        </is>
      </c>
      <c r="K670" s="6" t="n">
        <v>11</v>
      </c>
    </row>
    <row r="671">
      <c r="A671" s="6" t="inlineStr">
        <is>
          <t>3123403</t>
        </is>
      </c>
      <c r="B671" s="6" t="inlineStr">
        <is>
          <t>3123403</t>
        </is>
      </c>
      <c r="C671" s="4" t="inlineStr">
        <is>
          <t>Varginha</t>
        </is>
      </c>
      <c r="D671" s="16" t="n">
        <v>1461</v>
      </c>
      <c r="E671" s="8" t="n">
        <v>152.912</v>
      </c>
      <c r="F671" s="7" t="n">
        <v>-20.284798</v>
      </c>
      <c r="G671" s="7" t="n">
        <v>-45.89075179</v>
      </c>
      <c r="H671" s="8" t="n">
        <v>38.3773</v>
      </c>
      <c r="I671" s="6" t="inlineStr">
        <is>
          <t>BAIXO</t>
        </is>
      </c>
      <c r="J671" s="6" t="inlineStr">
        <is>
          <t>swine</t>
        </is>
      </c>
      <c r="K671" s="6" t="n">
        <v>10</v>
      </c>
    </row>
    <row r="672">
      <c r="A672" s="6" t="inlineStr">
        <is>
          <t>3157252</t>
        </is>
      </c>
      <c r="B672" s="6" t="inlineStr">
        <is>
          <t>3157252</t>
        </is>
      </c>
      <c r="C672" s="4" t="inlineStr">
        <is>
          <t>Ipatinga</t>
        </is>
      </c>
      <c r="D672" s="16" t="n">
        <v>8458</v>
      </c>
      <c r="E672" s="8" t="n">
        <v>107.402</v>
      </c>
      <c r="F672" s="7" t="n">
        <v>-19.951999</v>
      </c>
      <c r="G672" s="7" t="n">
        <v>-42.12518048</v>
      </c>
      <c r="H672" s="8" t="n">
        <v>38.156</v>
      </c>
      <c r="I672" s="6" t="inlineStr">
        <is>
          <t>BAIXO</t>
        </is>
      </c>
      <c r="J672" s="6" t="inlineStr">
        <is>
          <t>forestry</t>
        </is>
      </c>
      <c r="K672" s="6" t="n">
        <v>10</v>
      </c>
    </row>
    <row r="673">
      <c r="A673" s="6" t="inlineStr">
        <is>
          <t>3147956</t>
        </is>
      </c>
      <c r="B673" s="6" t="inlineStr">
        <is>
          <t>3147956</t>
        </is>
      </c>
      <c r="C673" s="4" t="inlineStr">
        <is>
          <t>Montes Claros</t>
        </is>
      </c>
      <c r="D673" s="16" t="n">
        <v>4837</v>
      </c>
      <c r="E673" s="8" t="n">
        <v>444.196</v>
      </c>
      <c r="F673" s="7" t="n">
        <v>-16.088187</v>
      </c>
      <c r="G673" s="7" t="n">
        <v>-44.10061856</v>
      </c>
      <c r="H673" s="8" t="n">
        <v>38.1229</v>
      </c>
      <c r="I673" s="6" t="inlineStr">
        <is>
          <t>BAIXO</t>
        </is>
      </c>
      <c r="J673" s="6" t="inlineStr">
        <is>
          <t>swine</t>
        </is>
      </c>
      <c r="K673" s="6" t="n">
        <v>9</v>
      </c>
    </row>
    <row r="674">
      <c r="A674" s="6" t="inlineStr">
        <is>
          <t>3127388</t>
        </is>
      </c>
      <c r="B674" s="6" t="inlineStr">
        <is>
          <t>3127388</t>
        </is>
      </c>
      <c r="C674" s="4" t="inlineStr">
        <is>
          <t>Juíz de Fora</t>
        </is>
      </c>
      <c r="D674" s="16" t="n">
        <v>4053</v>
      </c>
      <c r="E674" s="8" t="n">
        <v>152.039</v>
      </c>
      <c r="F674" s="7" t="n">
        <v>-21.5637895</v>
      </c>
      <c r="G674" s="7" t="n">
        <v>-43.19348102</v>
      </c>
      <c r="H674" s="8" t="n">
        <v>38.1186</v>
      </c>
      <c r="I674" s="6" t="inlineStr">
        <is>
          <t>BAIXO</t>
        </is>
      </c>
      <c r="J674" s="6" t="inlineStr">
        <is>
          <t>swine</t>
        </is>
      </c>
      <c r="K674" s="6" t="n">
        <v>9</v>
      </c>
    </row>
    <row r="675">
      <c r="A675" s="6" t="inlineStr">
        <is>
          <t>3155108</t>
        </is>
      </c>
      <c r="B675" s="6" t="inlineStr">
        <is>
          <t>3155108</t>
        </is>
      </c>
      <c r="C675" s="4" t="inlineStr">
        <is>
          <t>Teófilo Otoni</t>
        </is>
      </c>
      <c r="D675" s="16" t="n">
        <v>4639</v>
      </c>
      <c r="E675" s="8" t="n">
        <v>479.815</v>
      </c>
      <c r="F675" s="7" t="n">
        <v>-16.6841115</v>
      </c>
      <c r="G675" s="7" t="n">
        <v>-40.55818066</v>
      </c>
      <c r="H675" s="8" t="n">
        <v>38.043</v>
      </c>
      <c r="I675" s="6" t="inlineStr">
        <is>
          <t>BAIXO</t>
        </is>
      </c>
      <c r="J675" s="6" t="inlineStr">
        <is>
          <t>swine</t>
        </is>
      </c>
      <c r="K675" s="6" t="n">
        <v>6</v>
      </c>
    </row>
    <row r="676">
      <c r="A676" s="6" t="inlineStr">
        <is>
          <t>3138351</t>
        </is>
      </c>
      <c r="B676" s="6" t="inlineStr">
        <is>
          <t>3138351</t>
        </is>
      </c>
      <c r="C676" s="4" t="inlineStr">
        <is>
          <t>Teófilo Otoni</t>
        </is>
      </c>
      <c r="D676" s="16" t="n">
        <v>4341</v>
      </c>
      <c r="E676" s="8" t="n">
        <v>280.036</v>
      </c>
      <c r="F676" s="7" t="n">
        <v>-17.0631435</v>
      </c>
      <c r="G676" s="7" t="n">
        <v>-42.72737767</v>
      </c>
      <c r="H676" s="8" t="n">
        <v>37.9858</v>
      </c>
      <c r="I676" s="6" t="inlineStr">
        <is>
          <t>BAIXO</t>
        </is>
      </c>
      <c r="J676" s="6" t="inlineStr">
        <is>
          <t>forestry</t>
        </is>
      </c>
      <c r="K676" s="6" t="n">
        <v>10</v>
      </c>
    </row>
    <row r="677">
      <c r="A677" s="6" t="inlineStr">
        <is>
          <t>3169109</t>
        </is>
      </c>
      <c r="B677" s="6" t="inlineStr">
        <is>
          <t>3169109</t>
        </is>
      </c>
      <c r="C677" s="4" t="inlineStr">
        <is>
          <t>Pouso Alegre</t>
        </is>
      </c>
      <c r="D677" s="16" t="n">
        <v>7214</v>
      </c>
      <c r="E677" s="8" t="n">
        <v>136.776</v>
      </c>
      <c r="F677" s="7" t="n">
        <v>-22.707811</v>
      </c>
      <c r="G677" s="7" t="n">
        <v>-46.3803741</v>
      </c>
      <c r="H677" s="8" t="n">
        <v>37.5292</v>
      </c>
      <c r="I677" s="6" t="inlineStr">
        <is>
          <t>BAIXO</t>
        </is>
      </c>
      <c r="J677" s="6" t="inlineStr">
        <is>
          <t>swine</t>
        </is>
      </c>
      <c r="K677" s="6" t="n">
        <v>10</v>
      </c>
    </row>
    <row r="678">
      <c r="A678" s="6" t="inlineStr">
        <is>
          <t>3154408</t>
        </is>
      </c>
      <c r="B678" s="6" t="inlineStr">
        <is>
          <t>3154408</t>
        </is>
      </c>
      <c r="C678" s="4" t="inlineStr">
        <is>
          <t>Barbacena</t>
        </is>
      </c>
      <c r="D678" s="16" t="n">
        <v>4548</v>
      </c>
      <c r="E678" s="8" t="n">
        <v>183.062</v>
      </c>
      <c r="F678" s="7" t="n">
        <v>-21.084193</v>
      </c>
      <c r="G678" s="7" t="n">
        <v>-43.73403346</v>
      </c>
      <c r="H678" s="8" t="n">
        <v>37.2856</v>
      </c>
      <c r="I678" s="6" t="inlineStr">
        <is>
          <t>BAIXO</t>
        </is>
      </c>
      <c r="J678" s="6" t="inlineStr">
        <is>
          <t>swine</t>
        </is>
      </c>
      <c r="K678" s="6" t="n">
        <v>9</v>
      </c>
    </row>
    <row r="679">
      <c r="A679" s="6" t="inlineStr">
        <is>
          <t>3102050</t>
        </is>
      </c>
      <c r="B679" s="6" t="inlineStr">
        <is>
          <t>3102050</t>
        </is>
      </c>
      <c r="C679" s="4" t="inlineStr">
        <is>
          <t>Juíz de Fora</t>
        </is>
      </c>
      <c r="D679" s="16" t="n">
        <v>5795</v>
      </c>
      <c r="E679" s="8" t="n">
        <v>103.69</v>
      </c>
      <c r="F679" s="7" t="n">
        <v>-20.457314</v>
      </c>
      <c r="G679" s="7" t="n">
        <v>-41.85610969</v>
      </c>
      <c r="H679" s="8" t="n">
        <v>37.1066</v>
      </c>
      <c r="I679" s="6" t="inlineStr">
        <is>
          <t>BAIXO</t>
        </is>
      </c>
      <c r="J679" s="6" t="inlineStr">
        <is>
          <t>swine</t>
        </is>
      </c>
      <c r="K679" s="6" t="n">
        <v>9</v>
      </c>
    </row>
    <row r="680">
      <c r="A680" s="6" t="inlineStr">
        <is>
          <t>3110806</t>
        </is>
      </c>
      <c r="B680" s="6" t="inlineStr">
        <is>
          <t>3110806</t>
        </is>
      </c>
      <c r="C680" s="4" t="inlineStr">
        <is>
          <t>Teófilo Otoni</t>
        </is>
      </c>
      <c r="D680" s="16" t="n">
        <v>2923</v>
      </c>
      <c r="E680" s="8" t="n">
        <v>442.398</v>
      </c>
      <c r="F680" s="7" t="n">
        <v>-18.2813485</v>
      </c>
      <c r="G680" s="7" t="n">
        <v>-41.71984539</v>
      </c>
      <c r="H680" s="8" t="n">
        <v>36.7984</v>
      </c>
      <c r="I680" s="6" t="inlineStr">
        <is>
          <t>BAIXO</t>
        </is>
      </c>
      <c r="J680" s="6" t="inlineStr">
        <is>
          <t>swine</t>
        </is>
      </c>
      <c r="K680" s="6" t="n">
        <v>8</v>
      </c>
    </row>
    <row r="681">
      <c r="A681" s="6" t="inlineStr">
        <is>
          <t>3136801</t>
        </is>
      </c>
      <c r="B681" s="6" t="inlineStr">
        <is>
          <t>3136801</t>
        </is>
      </c>
      <c r="C681" s="4" t="inlineStr">
        <is>
          <t>Montes Claros</t>
        </is>
      </c>
      <c r="D681" s="16" t="n">
        <v>3768</v>
      </c>
      <c r="E681" s="8" t="n">
        <v>431.63</v>
      </c>
      <c r="F681" s="7" t="n">
        <v>-16.8524385</v>
      </c>
      <c r="G681" s="7" t="n">
        <v>-43.54261347</v>
      </c>
      <c r="H681" s="8" t="n">
        <v>36.49</v>
      </c>
      <c r="I681" s="6" t="inlineStr">
        <is>
          <t>BAIXO</t>
        </is>
      </c>
      <c r="J681" s="6" t="inlineStr">
        <is>
          <t>swine</t>
        </is>
      </c>
      <c r="K681" s="6" t="n">
        <v>7</v>
      </c>
    </row>
    <row r="682">
      <c r="A682" s="6" t="inlineStr">
        <is>
          <t>3133600</t>
        </is>
      </c>
      <c r="B682" s="6" t="inlineStr">
        <is>
          <t>3133600</t>
        </is>
      </c>
      <c r="C682" s="4" t="inlineStr">
        <is>
          <t>Pouso Alegre</t>
        </is>
      </c>
      <c r="D682" s="16" t="n">
        <v>12692</v>
      </c>
      <c r="E682" s="8" t="n">
        <v>177.312</v>
      </c>
      <c r="F682" s="7" t="n">
        <v>-22.7071275</v>
      </c>
      <c r="G682" s="7" t="n">
        <v>-46.23017201</v>
      </c>
      <c r="H682" s="8" t="n">
        <v>36.3806</v>
      </c>
      <c r="I682" s="6" t="inlineStr">
        <is>
          <t>BAIXO</t>
        </is>
      </c>
      <c r="J682" s="6" t="inlineStr">
        <is>
          <t>swine</t>
        </is>
      </c>
      <c r="K682" s="6" t="n">
        <v>8</v>
      </c>
    </row>
    <row r="683">
      <c r="A683" s="6" t="inlineStr">
        <is>
          <t>3122603</t>
        </is>
      </c>
      <c r="B683" s="6" t="inlineStr">
        <is>
          <t>3122603</t>
        </is>
      </c>
      <c r="C683" s="4" t="inlineStr">
        <is>
          <t>Governador Valadares</t>
        </is>
      </c>
      <c r="D683" s="16" t="n">
        <v>4899</v>
      </c>
      <c r="E683" s="8" t="n">
        <v>398.793</v>
      </c>
      <c r="F683" s="7" t="n">
        <v>-18.9324995</v>
      </c>
      <c r="G683" s="7" t="n">
        <v>-43.25988001</v>
      </c>
      <c r="H683" s="8" t="n">
        <v>36.1842</v>
      </c>
      <c r="I683" s="6" t="inlineStr">
        <is>
          <t>BAIXO</t>
        </is>
      </c>
      <c r="J683" s="6" t="inlineStr">
        <is>
          <t>swine</t>
        </is>
      </c>
      <c r="K683" s="6" t="n">
        <v>9</v>
      </c>
    </row>
    <row r="684">
      <c r="A684" s="6" t="inlineStr">
        <is>
          <t>3162658</t>
        </is>
      </c>
      <c r="B684" s="6" t="inlineStr">
        <is>
          <t>3162658</t>
        </is>
      </c>
      <c r="C684" s="4" t="inlineStr">
        <is>
          <t>Montes Claros</t>
        </is>
      </c>
      <c r="D684" s="16" t="n">
        <v>3972</v>
      </c>
      <c r="E684" s="8" t="n">
        <v>415.922</v>
      </c>
      <c r="F684" s="7" t="n">
        <v>-16.551899</v>
      </c>
      <c r="G684" s="7" t="n">
        <v>-44.54307595</v>
      </c>
      <c r="H684" s="8" t="n">
        <v>36.1207</v>
      </c>
      <c r="I684" s="6" t="inlineStr">
        <is>
          <t>BAIXO</t>
        </is>
      </c>
      <c r="J684" s="6" t="inlineStr">
        <is>
          <t>swine</t>
        </is>
      </c>
      <c r="K684" s="6" t="n">
        <v>8</v>
      </c>
    </row>
    <row r="685">
      <c r="A685" s="6" t="inlineStr">
        <is>
          <t>3150901</t>
        </is>
      </c>
      <c r="B685" s="6" t="inlineStr">
        <is>
          <t>3150901</t>
        </is>
      </c>
      <c r="C685" s="4" t="inlineStr">
        <is>
          <t>Pouso Alegre</t>
        </is>
      </c>
      <c r="D685" s="16" t="n">
        <v>6041</v>
      </c>
      <c r="E685" s="8" t="n">
        <v>203.619</v>
      </c>
      <c r="F685" s="7" t="n">
        <v>-22.558445</v>
      </c>
      <c r="G685" s="7" t="n">
        <v>-45.51504016</v>
      </c>
      <c r="H685" s="8" t="n">
        <v>35.7544</v>
      </c>
      <c r="I685" s="6" t="inlineStr">
        <is>
          <t>BAIXO</t>
        </is>
      </c>
      <c r="J685" s="6" t="inlineStr">
        <is>
          <t>swine</t>
        </is>
      </c>
      <c r="K685" s="6" t="n">
        <v>10</v>
      </c>
    </row>
    <row r="686">
      <c r="A686" s="6" t="inlineStr">
        <is>
          <t>3123106</t>
        </is>
      </c>
      <c r="B686" s="6" t="inlineStr">
        <is>
          <t>3123106</t>
        </is>
      </c>
      <c r="C686" s="4" t="inlineStr">
        <is>
          <t>Governador Valadares</t>
        </is>
      </c>
      <c r="D686" s="16" t="n">
        <v>5029</v>
      </c>
      <c r="E686" s="8" t="n">
        <v>382.124</v>
      </c>
      <c r="F686" s="7" t="n">
        <v>-19.03407</v>
      </c>
      <c r="G686" s="7" t="n">
        <v>-42.95950105</v>
      </c>
      <c r="H686" s="8" t="n">
        <v>35.7226</v>
      </c>
      <c r="I686" s="6" t="inlineStr">
        <is>
          <t>BAIXO</t>
        </is>
      </c>
      <c r="J686" s="6" t="inlineStr">
        <is>
          <t>swine</t>
        </is>
      </c>
      <c r="K686" s="6" t="n">
        <v>8</v>
      </c>
    </row>
    <row r="687">
      <c r="A687" s="6" t="inlineStr">
        <is>
          <t>3170305</t>
        </is>
      </c>
      <c r="B687" s="6" t="inlineStr">
        <is>
          <t>3170305</t>
        </is>
      </c>
      <c r="C687" s="4" t="inlineStr">
        <is>
          <t>Teófilo Otoni</t>
        </is>
      </c>
      <c r="D687" s="16" t="n">
        <v>2684</v>
      </c>
      <c r="E687" s="8" t="n">
        <v>405.834</v>
      </c>
      <c r="F687" s="7" t="n">
        <v>-17.2731585</v>
      </c>
      <c r="G687" s="7" t="n">
        <v>-40.66569929</v>
      </c>
      <c r="H687" s="8" t="n">
        <v>35.4247</v>
      </c>
      <c r="I687" s="6" t="inlineStr">
        <is>
          <t>BAIXO</t>
        </is>
      </c>
      <c r="J687" s="6" t="inlineStr">
        <is>
          <t>swine</t>
        </is>
      </c>
      <c r="K687" s="6" t="n">
        <v>7</v>
      </c>
    </row>
    <row r="688">
      <c r="A688" s="6" t="inlineStr">
        <is>
          <t>3135357</t>
        </is>
      </c>
      <c r="B688" s="6" t="inlineStr">
        <is>
          <t>3135357</t>
        </is>
      </c>
      <c r="C688" s="4" t="inlineStr">
        <is>
          <t>Montes Claros</t>
        </is>
      </c>
      <c r="D688" s="16" t="n">
        <v>8127</v>
      </c>
      <c r="E688" s="8" t="n">
        <v>375.181</v>
      </c>
      <c r="F688" s="7" t="n">
        <v>-15.9334555</v>
      </c>
      <c r="G688" s="7" t="n">
        <v>-44.26530139</v>
      </c>
      <c r="H688" s="8" t="n">
        <v>35.3071</v>
      </c>
      <c r="I688" s="6" t="inlineStr">
        <is>
          <t>BAIXO</t>
        </is>
      </c>
      <c r="J688" s="6" t="inlineStr">
        <is>
          <t>swine</t>
        </is>
      </c>
      <c r="K688" s="6" t="n">
        <v>8</v>
      </c>
    </row>
    <row r="689">
      <c r="A689" s="6" t="inlineStr">
        <is>
          <t>3158102</t>
        </is>
      </c>
      <c r="B689" s="6" t="inlineStr">
        <is>
          <t>3158102</t>
        </is>
      </c>
      <c r="C689" s="4" t="inlineStr">
        <is>
          <t>Teófilo Otoni</t>
        </is>
      </c>
      <c r="D689" s="16" t="n">
        <v>4755</v>
      </c>
      <c r="E689" s="8" t="n">
        <v>440.605</v>
      </c>
      <c r="F689" s="7" t="n">
        <v>-16.2953515</v>
      </c>
      <c r="G689" s="7" t="n">
        <v>-40.1296515</v>
      </c>
      <c r="H689" s="8" t="n">
        <v>35.2782</v>
      </c>
      <c r="I689" s="6" t="inlineStr">
        <is>
          <t>BAIXO</t>
        </is>
      </c>
      <c r="J689" s="6" t="inlineStr">
        <is>
          <t>swine</t>
        </is>
      </c>
      <c r="K689" s="6" t="n">
        <v>7</v>
      </c>
    </row>
    <row r="690">
      <c r="A690" s="6" t="inlineStr">
        <is>
          <t>3167509</t>
        </is>
      </c>
      <c r="B690" s="6" t="inlineStr">
        <is>
          <t>3167509</t>
        </is>
      </c>
      <c r="C690" s="4" t="inlineStr">
        <is>
          <t>Juíz de Fora</t>
        </is>
      </c>
      <c r="D690" s="16" t="n">
        <v>2947</v>
      </c>
      <c r="E690" s="8" t="n">
        <v>135.689</v>
      </c>
      <c r="F690" s="7" t="n">
        <v>-21.96443</v>
      </c>
      <c r="G690" s="7" t="n">
        <v>-43.29882521</v>
      </c>
      <c r="H690" s="8" t="n">
        <v>35.2038</v>
      </c>
      <c r="I690" s="6" t="inlineStr">
        <is>
          <t>BAIXO</t>
        </is>
      </c>
      <c r="J690" s="6" t="inlineStr">
        <is>
          <t>swine</t>
        </is>
      </c>
      <c r="K690" s="6" t="n">
        <v>8</v>
      </c>
    </row>
    <row r="691">
      <c r="A691" s="6" t="inlineStr">
        <is>
          <t>3132800</t>
        </is>
      </c>
      <c r="B691" s="6" t="inlineStr">
        <is>
          <t>3132800</t>
        </is>
      </c>
      <c r="C691" s="4" t="inlineStr">
        <is>
          <t>Belo Horizonte</t>
        </is>
      </c>
      <c r="D691" s="16" t="n">
        <v>2142</v>
      </c>
      <c r="E691" s="8" t="n">
        <v>380.34</v>
      </c>
      <c r="F691" s="7" t="n">
        <v>-19.410259</v>
      </c>
      <c r="G691" s="7" t="n">
        <v>-43.34045335</v>
      </c>
      <c r="H691" s="8" t="n">
        <v>35.1947</v>
      </c>
      <c r="I691" s="6" t="inlineStr">
        <is>
          <t>BAIXO</t>
        </is>
      </c>
      <c r="J691" s="6" t="inlineStr">
        <is>
          <t>swine</t>
        </is>
      </c>
      <c r="K691" s="6" t="n">
        <v>8</v>
      </c>
    </row>
    <row r="692">
      <c r="A692" s="6" t="inlineStr">
        <is>
          <t>3127404</t>
        </is>
      </c>
      <c r="B692" s="6" t="inlineStr">
        <is>
          <t>3127404</t>
        </is>
      </c>
      <c r="C692" s="4" t="inlineStr">
        <is>
          <t>Pouso Alegre</t>
        </is>
      </c>
      <c r="D692" s="16" t="n">
        <v>4727</v>
      </c>
      <c r="E692" s="8" t="n">
        <v>187.353</v>
      </c>
      <c r="F692" s="7" t="n">
        <v>-22.681483</v>
      </c>
      <c r="G692" s="7" t="n">
        <v>-45.83447849</v>
      </c>
      <c r="H692" s="8" t="n">
        <v>35.1518</v>
      </c>
      <c r="I692" s="6" t="inlineStr">
        <is>
          <t>BAIXO</t>
        </is>
      </c>
      <c r="J692" s="6" t="inlineStr">
        <is>
          <t>swine</t>
        </is>
      </c>
      <c r="K692" s="6" t="n">
        <v>10</v>
      </c>
    </row>
    <row r="693">
      <c r="A693" s="6" t="inlineStr">
        <is>
          <t>3146750</t>
        </is>
      </c>
      <c r="B693" s="6" t="inlineStr">
        <is>
          <t>3146750</t>
        </is>
      </c>
      <c r="C693" s="4" t="inlineStr">
        <is>
          <t>Teófilo Otoni</t>
        </is>
      </c>
      <c r="D693" s="16" t="n">
        <v>6301</v>
      </c>
      <c r="E693" s="8" t="n">
        <v>433.154</v>
      </c>
      <c r="F693" s="7" t="n">
        <v>-16.778726</v>
      </c>
      <c r="G693" s="7" t="n">
        <v>-40.40351944</v>
      </c>
      <c r="H693" s="8" t="n">
        <v>35.0567</v>
      </c>
      <c r="I693" s="6" t="inlineStr">
        <is>
          <t>BAIXO</t>
        </is>
      </c>
      <c r="J693" s="6" t="inlineStr">
        <is>
          <t>swine</t>
        </is>
      </c>
      <c r="K693" s="6" t="n">
        <v>8</v>
      </c>
    </row>
    <row r="694">
      <c r="A694" s="6" t="inlineStr">
        <is>
          <t>3166105</t>
        </is>
      </c>
      <c r="B694" s="6" t="inlineStr">
        <is>
          <t>3166105</t>
        </is>
      </c>
      <c r="C694" s="4" t="inlineStr">
        <is>
          <t>Governador Valadares</t>
        </is>
      </c>
      <c r="D694" s="16" t="n">
        <v>3067</v>
      </c>
      <c r="E694" s="8" t="n">
        <v>381.328</v>
      </c>
      <c r="F694" s="7" t="n">
        <v>-18.9125585</v>
      </c>
      <c r="G694" s="7" t="n">
        <v>-43.08754272</v>
      </c>
      <c r="H694" s="8" t="n">
        <v>34.7305</v>
      </c>
      <c r="I694" s="6" t="inlineStr">
        <is>
          <t>BAIXO</t>
        </is>
      </c>
      <c r="J694" s="6" t="inlineStr">
        <is>
          <t>swine</t>
        </is>
      </c>
      <c r="K694" s="6" t="n">
        <v>7</v>
      </c>
    </row>
    <row r="695">
      <c r="A695" s="6" t="inlineStr">
        <is>
          <t>3129657</t>
        </is>
      </c>
      <c r="B695" s="6" t="inlineStr">
        <is>
          <t>3129657</t>
        </is>
      </c>
      <c r="C695" s="4" t="inlineStr">
        <is>
          <t>Montes Claros</t>
        </is>
      </c>
      <c r="D695" s="16" t="n">
        <v>5081</v>
      </c>
      <c r="E695" s="8" t="n">
        <v>353.257</v>
      </c>
      <c r="F695" s="7" t="n">
        <v>-15.651036</v>
      </c>
      <c r="G695" s="7" t="n">
        <v>-44.098599</v>
      </c>
      <c r="H695" s="8" t="n">
        <v>34.1328</v>
      </c>
      <c r="I695" s="6" t="inlineStr">
        <is>
          <t>BAIXO</t>
        </is>
      </c>
      <c r="J695" s="6" t="inlineStr">
        <is>
          <t>swine</t>
        </is>
      </c>
      <c r="K695" s="6" t="n">
        <v>8</v>
      </c>
    </row>
    <row r="696">
      <c r="A696" s="6" t="inlineStr">
        <is>
          <t>3106606</t>
        </is>
      </c>
      <c r="B696" s="6" t="inlineStr">
        <is>
          <t>3106606</t>
        </is>
      </c>
      <c r="C696" s="4" t="inlineStr">
        <is>
          <t>Teófilo Otoni</t>
        </is>
      </c>
      <c r="D696" s="16" t="n">
        <v>4451</v>
      </c>
      <c r="E696" s="8" t="n">
        <v>427.803</v>
      </c>
      <c r="F696" s="7" t="n">
        <v>-16.98406885</v>
      </c>
      <c r="G696" s="7" t="n">
        <v>-40.589577</v>
      </c>
      <c r="H696" s="8" t="n">
        <v>34.1031</v>
      </c>
      <c r="I696" s="6" t="inlineStr">
        <is>
          <t>BAIXO</t>
        </is>
      </c>
      <c r="J696" s="6" t="inlineStr">
        <is>
          <t>swine</t>
        </is>
      </c>
      <c r="K696" s="6" t="n">
        <v>6</v>
      </c>
    </row>
    <row r="697">
      <c r="A697" s="6" t="inlineStr">
        <is>
          <t>3135407</t>
        </is>
      </c>
      <c r="B697" s="6" t="inlineStr">
        <is>
          <t>3135407</t>
        </is>
      </c>
      <c r="C697" s="4" t="inlineStr">
        <is>
          <t>Barbacena</t>
        </is>
      </c>
      <c r="D697" s="16" t="n">
        <v>6197</v>
      </c>
      <c r="E697" s="8" t="n">
        <v>236.25</v>
      </c>
      <c r="F697" s="7" t="n">
        <v>-20.554754</v>
      </c>
      <c r="G697" s="7" t="n">
        <v>-44.02487486</v>
      </c>
      <c r="H697" s="8" t="n">
        <v>33.9627</v>
      </c>
      <c r="I697" s="6" t="inlineStr">
        <is>
          <t>BAIXO</t>
        </is>
      </c>
      <c r="J697" s="6" t="inlineStr">
        <is>
          <t>swine</t>
        </is>
      </c>
      <c r="K697" s="6" t="n">
        <v>8</v>
      </c>
    </row>
    <row r="698">
      <c r="A698" s="6" t="inlineStr">
        <is>
          <t>3110202</t>
        </is>
      </c>
      <c r="B698" s="6" t="inlineStr">
        <is>
          <t>3110202</t>
        </is>
      </c>
      <c r="C698" s="4" t="inlineStr">
        <is>
          <t>Juíz de Fora</t>
        </is>
      </c>
      <c r="D698" s="16" t="n">
        <v>4088</v>
      </c>
      <c r="E698" s="8" t="n">
        <v>83.038</v>
      </c>
      <c r="F698" s="7" t="n">
        <v>-20.78529</v>
      </c>
      <c r="G698" s="7" t="n">
        <v>-42.75454998</v>
      </c>
      <c r="H698" s="8" t="n">
        <v>33.7163</v>
      </c>
      <c r="I698" s="6" t="inlineStr">
        <is>
          <t>BAIXO</t>
        </is>
      </c>
      <c r="J698" s="6" t="inlineStr">
        <is>
          <t>swine</t>
        </is>
      </c>
      <c r="K698" s="6" t="n">
        <v>10</v>
      </c>
    </row>
    <row r="699">
      <c r="A699" s="6" t="inlineStr">
        <is>
          <t>3168309</t>
        </is>
      </c>
      <c r="B699" s="6" t="inlineStr">
        <is>
          <t>3168309</t>
        </is>
      </c>
      <c r="C699" s="4" t="inlineStr">
        <is>
          <t>Belo Horizonte</t>
        </is>
      </c>
      <c r="D699" s="16" t="n">
        <v>4224</v>
      </c>
      <c r="E699" s="8" t="n">
        <v>329.287</v>
      </c>
      <c r="F699" s="7" t="n">
        <v>-19.63009</v>
      </c>
      <c r="G699" s="7" t="n">
        <v>-43.68006716</v>
      </c>
      <c r="H699" s="8" t="n">
        <v>33.6953</v>
      </c>
      <c r="I699" s="6" t="inlineStr">
        <is>
          <t>BAIXO</t>
        </is>
      </c>
      <c r="J699" s="6" t="inlineStr">
        <is>
          <t>swine</t>
        </is>
      </c>
      <c r="K699" s="6" t="n">
        <v>8</v>
      </c>
    </row>
    <row r="700">
      <c r="A700" s="6" t="inlineStr">
        <is>
          <t>3158706</t>
        </is>
      </c>
      <c r="B700" s="6" t="inlineStr">
        <is>
          <t>3158706</t>
        </is>
      </c>
      <c r="C700" s="4" t="inlineStr">
        <is>
          <t>Barbacena</t>
        </is>
      </c>
      <c r="D700" s="16" t="n">
        <v>2137</v>
      </c>
      <c r="E700" s="8" t="n">
        <v>203.074</v>
      </c>
      <c r="F700" s="7" t="n">
        <v>-21.637239</v>
      </c>
      <c r="G700" s="7" t="n">
        <v>-44.05263625</v>
      </c>
      <c r="H700" s="8" t="n">
        <v>33.6446</v>
      </c>
      <c r="I700" s="6" t="inlineStr">
        <is>
          <t>BAIXO</t>
        </is>
      </c>
      <c r="J700" s="6" t="inlineStr">
        <is>
          <t>swine</t>
        </is>
      </c>
      <c r="K700" s="6" t="n">
        <v>10</v>
      </c>
    </row>
    <row r="701">
      <c r="A701" s="6" t="inlineStr">
        <is>
          <t>3121902</t>
        </is>
      </c>
      <c r="B701" s="6" t="inlineStr">
        <is>
          <t>3121902</t>
        </is>
      </c>
      <c r="C701" s="4" t="inlineStr">
        <is>
          <t>Juíz de Fora</t>
        </is>
      </c>
      <c r="D701" s="16" t="n">
        <v>4226</v>
      </c>
      <c r="E701" s="8" t="n">
        <v>116.97</v>
      </c>
      <c r="F701" s="7" t="n">
        <v>-20.99271</v>
      </c>
      <c r="G701" s="7" t="n">
        <v>-42.99412669</v>
      </c>
      <c r="H701" s="8" t="n">
        <v>33.6139</v>
      </c>
      <c r="I701" s="6" t="inlineStr">
        <is>
          <t>BAIXO</t>
        </is>
      </c>
      <c r="J701" s="6" t="inlineStr">
        <is>
          <t>swine</t>
        </is>
      </c>
      <c r="K701" s="6" t="n">
        <v>9</v>
      </c>
    </row>
    <row r="702">
      <c r="A702" s="6" t="inlineStr">
        <is>
          <t>3131000</t>
        </is>
      </c>
      <c r="B702" s="6" t="inlineStr">
        <is>
          <t>3131000</t>
        </is>
      </c>
      <c r="C702" s="4" t="inlineStr">
        <is>
          <t>Belo Horizonte</t>
        </is>
      </c>
      <c r="D702" s="16" t="n">
        <v>6239</v>
      </c>
      <c r="E702" s="8" t="n">
        <v>244.996</v>
      </c>
      <c r="F702" s="7" t="n">
        <v>-19.499527</v>
      </c>
      <c r="G702" s="7" t="n">
        <v>-44.37744605</v>
      </c>
      <c r="H702" s="8" t="n">
        <v>33.4608</v>
      </c>
      <c r="I702" s="6" t="inlineStr">
        <is>
          <t>BAIXO</t>
        </is>
      </c>
      <c r="J702" s="6" t="inlineStr">
        <is>
          <t>swine</t>
        </is>
      </c>
      <c r="K702" s="6" t="n">
        <v>9</v>
      </c>
    </row>
    <row r="703">
      <c r="A703" s="6" t="inlineStr">
        <is>
          <t>3143153</t>
        </is>
      </c>
      <c r="B703" s="6" t="inlineStr">
        <is>
          <t>3143153</t>
        </is>
      </c>
      <c r="C703" s="4" t="inlineStr">
        <is>
          <t>Teófilo Otoni</t>
        </is>
      </c>
      <c r="D703" s="16" t="n">
        <v>4381</v>
      </c>
      <c r="E703" s="8" t="n">
        <v>385.553</v>
      </c>
      <c r="F703" s="7" t="n">
        <v>-16.8820125</v>
      </c>
      <c r="G703" s="7" t="n">
        <v>-41.27138128</v>
      </c>
      <c r="H703" s="8" t="n">
        <v>33.108</v>
      </c>
      <c r="I703" s="6" t="inlineStr">
        <is>
          <t>BAIXO</t>
        </is>
      </c>
      <c r="J703" s="6" t="inlineStr">
        <is>
          <t>swine</t>
        </is>
      </c>
      <c r="K703" s="6" t="n">
        <v>9</v>
      </c>
    </row>
    <row r="704">
      <c r="A704" s="6" t="inlineStr">
        <is>
          <t>3124609</t>
        </is>
      </c>
      <c r="B704" s="6" t="inlineStr">
        <is>
          <t>3124609</t>
        </is>
      </c>
      <c r="C704" s="4" t="inlineStr">
        <is>
          <t>Juíz de Fora</t>
        </is>
      </c>
      <c r="D704" s="16" t="n">
        <v>2186</v>
      </c>
      <c r="E704" s="8" t="n">
        <v>131.365</v>
      </c>
      <c r="F704" s="7" t="n">
        <v>-21.7096675</v>
      </c>
      <c r="G704" s="7" t="n">
        <v>-42.45737649</v>
      </c>
      <c r="H704" s="8" t="n">
        <v>33.0794</v>
      </c>
      <c r="I704" s="6" t="inlineStr">
        <is>
          <t>BAIXO</t>
        </is>
      </c>
      <c r="J704" s="6" t="inlineStr">
        <is>
          <t>swine</t>
        </is>
      </c>
      <c r="K704" s="6" t="n">
        <v>9</v>
      </c>
    </row>
    <row r="705">
      <c r="A705" s="6" t="inlineStr">
        <is>
          <t>3112059</t>
        </is>
      </c>
      <c r="B705" s="6" t="inlineStr">
        <is>
          <t>3112059</t>
        </is>
      </c>
      <c r="C705" s="4" t="inlineStr">
        <is>
          <t>Governador Valadares</t>
        </is>
      </c>
      <c r="D705" s="16" t="n">
        <v>3974</v>
      </c>
      <c r="E705" s="8" t="n">
        <v>141.855</v>
      </c>
      <c r="F705" s="7" t="n">
        <v>-18.5094675</v>
      </c>
      <c r="G705" s="7" t="n">
        <v>-42.64469903</v>
      </c>
      <c r="H705" s="8" t="n">
        <v>32.6458</v>
      </c>
      <c r="I705" s="6" t="inlineStr">
        <is>
          <t>BAIXO</t>
        </is>
      </c>
      <c r="J705" s="6" t="inlineStr">
        <is>
          <t>forestry</t>
        </is>
      </c>
      <c r="K705" s="6" t="n">
        <v>8</v>
      </c>
    </row>
    <row r="706">
      <c r="A706" s="6" t="inlineStr">
        <is>
          <t>3133105</t>
        </is>
      </c>
      <c r="B706" s="6" t="inlineStr">
        <is>
          <t>3133105</t>
        </is>
      </c>
      <c r="C706" s="4" t="inlineStr">
        <is>
          <t>Pouso Alegre</t>
        </is>
      </c>
      <c r="D706" s="16" t="n">
        <v>15236</v>
      </c>
      <c r="E706" s="8" t="n">
        <v>143.363</v>
      </c>
      <c r="F706" s="7" t="n">
        <v>-22.3284015</v>
      </c>
      <c r="G706" s="7" t="n">
        <v>-44.88740464</v>
      </c>
      <c r="H706" s="8" t="n">
        <v>32.472</v>
      </c>
      <c r="I706" s="6" t="inlineStr">
        <is>
          <t>BAIXO</t>
        </is>
      </c>
      <c r="J706" s="6" t="inlineStr">
        <is>
          <t>swine</t>
        </is>
      </c>
      <c r="K706" s="6" t="n">
        <v>10</v>
      </c>
    </row>
    <row r="707">
      <c r="A707" s="6" t="inlineStr">
        <is>
          <t>3171402</t>
        </is>
      </c>
      <c r="B707" s="6" t="inlineStr">
        <is>
          <t>3171402</t>
        </is>
      </c>
      <c r="C707" s="4" t="inlineStr">
        <is>
          <t>Juíz de Fora</t>
        </is>
      </c>
      <c r="D707" s="16" t="n">
        <v>3700</v>
      </c>
      <c r="E707" s="8" t="n">
        <v>112.691</v>
      </c>
      <c r="F707" s="7" t="n">
        <v>-20.9112575</v>
      </c>
      <c r="G707" s="7" t="n">
        <v>-42.3009646</v>
      </c>
      <c r="H707" s="8" t="n">
        <v>31.8437</v>
      </c>
      <c r="I707" s="6" t="inlineStr">
        <is>
          <t>BAIXO</t>
        </is>
      </c>
      <c r="J707" s="6" t="inlineStr">
        <is>
          <t>swine</t>
        </is>
      </c>
      <c r="K707" s="6" t="n">
        <v>9</v>
      </c>
    </row>
    <row r="708">
      <c r="A708" s="6" t="inlineStr">
        <is>
          <t>3162302</t>
        </is>
      </c>
      <c r="B708" s="6" t="inlineStr">
        <is>
          <t>3162302</t>
        </is>
      </c>
      <c r="C708" s="4" t="inlineStr">
        <is>
          <t>Pouso Alegre</t>
        </is>
      </c>
      <c r="D708" s="16" t="n">
        <v>2914</v>
      </c>
      <c r="E708" s="8" t="n">
        <v>120.536</v>
      </c>
      <c r="F708" s="7" t="n">
        <v>-21.948229</v>
      </c>
      <c r="G708" s="7" t="n">
        <v>-45.92103301</v>
      </c>
      <c r="H708" s="8" t="n">
        <v>31.7837</v>
      </c>
      <c r="I708" s="6" t="inlineStr">
        <is>
          <t>BAIXO</t>
        </is>
      </c>
      <c r="J708" s="6" t="inlineStr">
        <is>
          <t>swine</t>
        </is>
      </c>
      <c r="K708" s="6" t="n">
        <v>10</v>
      </c>
    </row>
    <row r="709">
      <c r="A709" s="6" t="inlineStr">
        <is>
          <t>3144672</t>
        </is>
      </c>
      <c r="B709" s="6" t="inlineStr">
        <is>
          <t>3144672</t>
        </is>
      </c>
      <c r="C709" s="4" t="inlineStr">
        <is>
          <t>Governador Valadares</t>
        </is>
      </c>
      <c r="D709" s="16" t="n">
        <v>3151</v>
      </c>
      <c r="E709" s="8" t="n">
        <v>146.776</v>
      </c>
      <c r="F709" s="7" t="n">
        <v>-18.4887645</v>
      </c>
      <c r="G709" s="7" t="n">
        <v>-41.10208931</v>
      </c>
      <c r="H709" s="8" t="n">
        <v>31.5003</v>
      </c>
      <c r="I709" s="6" t="inlineStr">
        <is>
          <t>BAIXO</t>
        </is>
      </c>
      <c r="J709" s="6" t="inlineStr">
        <is>
          <t>coffee</t>
        </is>
      </c>
      <c r="K709" s="6" t="n">
        <v>10</v>
      </c>
    </row>
    <row r="710">
      <c r="A710" s="6" t="inlineStr">
        <is>
          <t>3156452</t>
        </is>
      </c>
      <c r="B710" s="6" t="inlineStr">
        <is>
          <t>3156452</t>
        </is>
      </c>
      <c r="C710" s="4" t="inlineStr">
        <is>
          <t>Juíz de Fora</t>
        </is>
      </c>
      <c r="D710" s="16" t="n">
        <v>4734</v>
      </c>
      <c r="E710" s="8" t="n">
        <v>111.156</v>
      </c>
      <c r="F710" s="7" t="n">
        <v>-20.9830345</v>
      </c>
      <c r="G710" s="7" t="n">
        <v>-42.50085872</v>
      </c>
      <c r="H710" s="8" t="n">
        <v>31.4502</v>
      </c>
      <c r="I710" s="6" t="inlineStr">
        <is>
          <t>BAIXO</t>
        </is>
      </c>
      <c r="J710" s="6" t="inlineStr">
        <is>
          <t>swine</t>
        </is>
      </c>
      <c r="K710" s="6" t="n">
        <v>10</v>
      </c>
    </row>
    <row r="711">
      <c r="A711" s="6" t="inlineStr">
        <is>
          <t>3115409</t>
        </is>
      </c>
      <c r="B711" s="6" t="inlineStr">
        <is>
          <t>3115409</t>
        </is>
      </c>
      <c r="C711" s="4" t="inlineStr">
        <is>
          <t>Barbacena</t>
        </is>
      </c>
      <c r="D711" s="16" t="n">
        <v>3110</v>
      </c>
      <c r="E711" s="8" t="n">
        <v>141.622</v>
      </c>
      <c r="F711" s="7" t="n">
        <v>-20.6672405</v>
      </c>
      <c r="G711" s="7" t="n">
        <v>-43.49479357</v>
      </c>
      <c r="H711" s="8" t="n">
        <v>31.3913</v>
      </c>
      <c r="I711" s="6" t="inlineStr">
        <is>
          <t>BAIXO</t>
        </is>
      </c>
      <c r="J711" s="6" t="inlineStr">
        <is>
          <t>forestry</t>
        </is>
      </c>
      <c r="K711" s="6" t="n">
        <v>10</v>
      </c>
    </row>
    <row r="712">
      <c r="A712" s="6" t="inlineStr">
        <is>
          <t>3102407</t>
        </is>
      </c>
      <c r="B712" s="6" t="inlineStr">
        <is>
          <t>3102407</t>
        </is>
      </c>
      <c r="C712" s="4" t="inlineStr">
        <is>
          <t>Teófilo Otoni</t>
        </is>
      </c>
      <c r="D712" s="16" t="n">
        <v>4159</v>
      </c>
      <c r="E712" s="8" t="n">
        <v>374.008</v>
      </c>
      <c r="F712" s="7" t="n">
        <v>-18.7763475</v>
      </c>
      <c r="G712" s="7" t="n">
        <v>-43.39258722</v>
      </c>
      <c r="H712" s="8" t="n">
        <v>31.1748</v>
      </c>
      <c r="I712" s="6" t="inlineStr">
        <is>
          <t>BAIXO</t>
        </is>
      </c>
      <c r="J712" s="6" t="inlineStr">
        <is>
          <t>swine</t>
        </is>
      </c>
      <c r="K712" s="6" t="n">
        <v>8</v>
      </c>
    </row>
    <row r="713">
      <c r="A713" s="6" t="inlineStr">
        <is>
          <t>3164100</t>
        </is>
      </c>
      <c r="B713" s="6" t="inlineStr">
        <is>
          <t>3164100</t>
        </is>
      </c>
      <c r="C713" s="4" t="inlineStr">
        <is>
          <t>Governador Valadares</t>
        </is>
      </c>
      <c r="D713" s="16" t="n">
        <v>5103</v>
      </c>
      <c r="E713" s="8" t="n">
        <v>308.106</v>
      </c>
      <c r="F713" s="7" t="n">
        <v>-18.3656905</v>
      </c>
      <c r="G713" s="7" t="n">
        <v>-42.60651711</v>
      </c>
      <c r="H713" s="8" t="n">
        <v>30.7985</v>
      </c>
      <c r="I713" s="6" t="inlineStr">
        <is>
          <t>BAIXO</t>
        </is>
      </c>
      <c r="J713" s="6" t="inlineStr">
        <is>
          <t>swine</t>
        </is>
      </c>
      <c r="K713" s="6" t="n">
        <v>9</v>
      </c>
    </row>
    <row r="714">
      <c r="A714" s="6" t="inlineStr">
        <is>
          <t>3125507</t>
        </is>
      </c>
      <c r="B714" s="6" t="inlineStr">
        <is>
          <t>3125507</t>
        </is>
      </c>
      <c r="C714" s="4" t="inlineStr">
        <is>
          <t>Teófilo Otoni</t>
        </is>
      </c>
      <c r="D714" s="16" t="n">
        <v>3032</v>
      </c>
      <c r="E714" s="8" t="n">
        <v>314.458</v>
      </c>
      <c r="F714" s="7" t="n">
        <v>-18.088458</v>
      </c>
      <c r="G714" s="7" t="n">
        <v>-43.33739329</v>
      </c>
      <c r="H714" s="8" t="n">
        <v>30.7756</v>
      </c>
      <c r="I714" s="6" t="inlineStr">
        <is>
          <t>BAIXO</t>
        </is>
      </c>
      <c r="J714" s="6" t="inlineStr">
        <is>
          <t>swine</t>
        </is>
      </c>
      <c r="K714" s="6" t="n">
        <v>10</v>
      </c>
    </row>
    <row r="715">
      <c r="A715" s="6" t="inlineStr">
        <is>
          <t>3145703</t>
        </is>
      </c>
      <c r="B715" s="6" t="inlineStr">
        <is>
          <t>3145703</t>
        </is>
      </c>
      <c r="C715" s="4" t="inlineStr">
        <is>
          <t>Juíz de Fora</t>
        </is>
      </c>
      <c r="D715" s="16" t="n">
        <v>2027</v>
      </c>
      <c r="E715" s="8" t="n">
        <v>111.13</v>
      </c>
      <c r="F715" s="7" t="n">
        <v>-21.3290765</v>
      </c>
      <c r="G715" s="7" t="n">
        <v>-43.50772113</v>
      </c>
      <c r="H715" s="8" t="n">
        <v>30.7606</v>
      </c>
      <c r="I715" s="6" t="inlineStr">
        <is>
          <t>BAIXO</t>
        </is>
      </c>
      <c r="J715" s="6" t="inlineStr">
        <is>
          <t>swine</t>
        </is>
      </c>
      <c r="K715" s="6" t="n">
        <v>8</v>
      </c>
    </row>
    <row r="716">
      <c r="A716" s="6" t="inlineStr">
        <is>
          <t>3131158</t>
        </is>
      </c>
      <c r="B716" s="6" t="inlineStr">
        <is>
          <t>3131158</t>
        </is>
      </c>
      <c r="C716" s="4" t="inlineStr">
        <is>
          <t>Ipatinga</t>
        </is>
      </c>
      <c r="D716" s="16" t="n">
        <v>17136</v>
      </c>
      <c r="E716" s="8" t="n">
        <v>113.246</v>
      </c>
      <c r="F716" s="7" t="n">
        <v>-19.3987545</v>
      </c>
      <c r="G716" s="7" t="n">
        <v>-42.37485476</v>
      </c>
      <c r="H716" s="8" t="n">
        <v>30.685</v>
      </c>
      <c r="I716" s="6" t="inlineStr">
        <is>
          <t>BAIXO</t>
        </is>
      </c>
      <c r="J716" s="6" t="inlineStr">
        <is>
          <t>forestry</t>
        </is>
      </c>
      <c r="K716" s="6" t="n">
        <v>8</v>
      </c>
    </row>
    <row r="717">
      <c r="A717" s="6" t="inlineStr">
        <is>
          <t>3165578</t>
        </is>
      </c>
      <c r="B717" s="6" t="inlineStr">
        <is>
          <t>3165578</t>
        </is>
      </c>
      <c r="C717" s="4" t="inlineStr">
        <is>
          <t>Pouso Alegre</t>
        </is>
      </c>
      <c r="D717" s="16" t="n">
        <v>6206</v>
      </c>
      <c r="E717" s="8" t="n">
        <v>151.097</v>
      </c>
      <c r="F717" s="7" t="n">
        <v>-22.558194</v>
      </c>
      <c r="G717" s="7" t="n">
        <v>-46.22219343</v>
      </c>
      <c r="H717" s="8" t="n">
        <v>30.5892</v>
      </c>
      <c r="I717" s="6" t="inlineStr">
        <is>
          <t>BAIXO</t>
        </is>
      </c>
      <c r="J717" s="6" t="inlineStr">
        <is>
          <t>swine</t>
        </is>
      </c>
      <c r="K717" s="6" t="n">
        <v>9</v>
      </c>
    </row>
    <row r="718">
      <c r="A718" s="6" t="inlineStr">
        <is>
          <t>3137908</t>
        </is>
      </c>
      <c r="B718" s="6" t="inlineStr">
        <is>
          <t>3137908</t>
        </is>
      </c>
      <c r="C718" s="4" t="inlineStr">
        <is>
          <t>Barbacena</t>
        </is>
      </c>
      <c r="D718" s="16" t="n">
        <v>3184</v>
      </c>
      <c r="E718" s="8" t="n">
        <v>118.602</v>
      </c>
      <c r="F718" s="7" t="n">
        <v>-20.77625</v>
      </c>
      <c r="G718" s="7" t="n">
        <v>-43.48476613</v>
      </c>
      <c r="H718" s="8" t="n">
        <v>30.4274</v>
      </c>
      <c r="I718" s="6" t="inlineStr">
        <is>
          <t>BAIXO</t>
        </is>
      </c>
      <c r="J718" s="6" t="inlineStr">
        <is>
          <t>forestry</t>
        </is>
      </c>
      <c r="K718" s="6" t="n">
        <v>9</v>
      </c>
    </row>
    <row r="719">
      <c r="A719" s="6" t="inlineStr">
        <is>
          <t>3130408</t>
        </is>
      </c>
      <c r="B719" s="6" t="inlineStr">
        <is>
          <t>3130408</t>
        </is>
      </c>
      <c r="C719" s="4" t="inlineStr">
        <is>
          <t>Varginha</t>
        </is>
      </c>
      <c r="D719" s="16" t="n">
        <v>7003</v>
      </c>
      <c r="E719" s="8" t="n">
        <v>105.246</v>
      </c>
      <c r="F719" s="7" t="n">
        <v>-21.17486</v>
      </c>
      <c r="G719" s="7" t="n">
        <v>-44.94446788</v>
      </c>
      <c r="H719" s="8" t="n">
        <v>30.2878</v>
      </c>
      <c r="I719" s="6" t="inlineStr">
        <is>
          <t>BAIXO</t>
        </is>
      </c>
      <c r="J719" s="6" t="inlineStr">
        <is>
          <t>swine</t>
        </is>
      </c>
      <c r="K719" s="6" t="n">
        <v>11</v>
      </c>
    </row>
    <row r="720">
      <c r="A720" s="6" t="inlineStr">
        <is>
          <t>3149408</t>
        </is>
      </c>
      <c r="B720" s="6" t="inlineStr">
        <is>
          <t>3149408</t>
        </is>
      </c>
      <c r="C720" s="4" t="inlineStr">
        <is>
          <t>Juíz de Fora</t>
        </is>
      </c>
      <c r="D720" s="16" t="n">
        <v>1810</v>
      </c>
      <c r="E720" s="8" t="n">
        <v>112.959</v>
      </c>
      <c r="F720" s="7" t="n">
        <v>-21.731654</v>
      </c>
      <c r="G720" s="7" t="n">
        <v>-43.72014017</v>
      </c>
      <c r="H720" s="8" t="n">
        <v>29.913</v>
      </c>
      <c r="I720" s="6" t="inlineStr">
        <is>
          <t>BAIXO</t>
        </is>
      </c>
      <c r="J720" s="6" t="inlineStr">
        <is>
          <t>swine</t>
        </is>
      </c>
      <c r="K720" s="6" t="n">
        <v>9</v>
      </c>
    </row>
    <row r="721">
      <c r="A721" s="6" t="inlineStr">
        <is>
          <t>3136108</t>
        </is>
      </c>
      <c r="B721" s="6" t="inlineStr">
        <is>
          <t>3136108</t>
        </is>
      </c>
      <c r="C721" s="4" t="inlineStr">
        <is>
          <t>Ipatinga</t>
        </is>
      </c>
      <c r="D721" s="16" t="n">
        <v>4329</v>
      </c>
      <c r="E721" s="8" t="n">
        <v>233.292</v>
      </c>
      <c r="F721" s="7" t="n">
        <v>-19.226497</v>
      </c>
      <c r="G721" s="7" t="n">
        <v>-42.70114305</v>
      </c>
      <c r="H721" s="8" t="n">
        <v>29.8776</v>
      </c>
      <c r="I721" s="6" t="inlineStr">
        <is>
          <t>BAIXO</t>
        </is>
      </c>
      <c r="J721" s="6" t="inlineStr">
        <is>
          <t>swine</t>
        </is>
      </c>
      <c r="K721" s="6" t="n">
        <v>9</v>
      </c>
    </row>
    <row r="722">
      <c r="A722" s="6" t="inlineStr">
        <is>
          <t>3144904</t>
        </is>
      </c>
      <c r="B722" s="6" t="inlineStr">
        <is>
          <t>3144904</t>
        </is>
      </c>
      <c r="C722" s="4" t="inlineStr">
        <is>
          <t>Teófilo Otoni</t>
        </is>
      </c>
      <c r="D722" s="16" t="n">
        <v>3663</v>
      </c>
      <c r="E722" s="8" t="n">
        <v>375.973</v>
      </c>
      <c r="F722" s="7" t="n">
        <v>-18.4390055</v>
      </c>
      <c r="G722" s="7" t="n">
        <v>-41.52895917</v>
      </c>
      <c r="H722" s="8" t="n">
        <v>29.8504</v>
      </c>
      <c r="I722" s="6" t="inlineStr">
        <is>
          <t>BAIXO</t>
        </is>
      </c>
      <c r="J722" s="6" t="inlineStr">
        <is>
          <t>swine</t>
        </is>
      </c>
      <c r="K722" s="6" t="n">
        <v>8</v>
      </c>
    </row>
    <row r="723">
      <c r="A723" s="6" t="inlineStr">
        <is>
          <t>3122108</t>
        </is>
      </c>
      <c r="B723" s="6" t="inlineStr">
        <is>
          <t>3122108</t>
        </is>
      </c>
      <c r="C723" s="4" t="inlineStr">
        <is>
          <t>Governador Valadares</t>
        </is>
      </c>
      <c r="D723" s="16" t="n">
        <v>4178</v>
      </c>
      <c r="E723" s="8" t="n">
        <v>342.249</v>
      </c>
      <c r="F723" s="7" t="n">
        <v>-18.699874</v>
      </c>
      <c r="G723" s="7" t="n">
        <v>-41.48191458</v>
      </c>
      <c r="H723" s="8" t="n">
        <v>29.7286</v>
      </c>
      <c r="I723" s="6" t="inlineStr">
        <is>
          <t>BAIXO</t>
        </is>
      </c>
      <c r="J723" s="6" t="inlineStr">
        <is>
          <t>swine</t>
        </is>
      </c>
      <c r="K723" s="6" t="n">
        <v>9</v>
      </c>
    </row>
    <row r="724">
      <c r="A724" s="6" t="inlineStr">
        <is>
          <t>3160207</t>
        </is>
      </c>
      <c r="B724" s="6" t="inlineStr">
        <is>
          <t>3160207</t>
        </is>
      </c>
      <c r="C724" s="4" t="inlineStr">
        <is>
          <t>Teófilo Otoni</t>
        </is>
      </c>
      <c r="D724" s="16" t="n">
        <v>3915</v>
      </c>
      <c r="E724" s="8" t="n">
        <v>305.737</v>
      </c>
      <c r="F724" s="7" t="n">
        <v>-18.494126</v>
      </c>
      <c r="G724" s="7" t="n">
        <v>-43.26630751</v>
      </c>
      <c r="H724" s="8" t="n">
        <v>29.6865</v>
      </c>
      <c r="I724" s="6" t="inlineStr">
        <is>
          <t>BAIXO</t>
        </is>
      </c>
      <c r="J724" s="6" t="inlineStr">
        <is>
          <t>swine</t>
        </is>
      </c>
      <c r="K724" s="6" t="n">
        <v>8</v>
      </c>
    </row>
    <row r="725">
      <c r="A725" s="6" t="inlineStr">
        <is>
          <t>3125002</t>
        </is>
      </c>
      <c r="B725" s="6" t="inlineStr">
        <is>
          <t>3125002</t>
        </is>
      </c>
      <c r="C725" s="4" t="inlineStr">
        <is>
          <t>Juíz de Fora</t>
        </is>
      </c>
      <c r="D725" s="16" t="n">
        <v>3875</v>
      </c>
      <c r="E725" s="8" t="n">
        <v>103.834</v>
      </c>
      <c r="F725" s="7" t="n">
        <v>-21.5762545</v>
      </c>
      <c r="G725" s="7" t="n">
        <v>-43.56934493</v>
      </c>
      <c r="H725" s="8" t="n">
        <v>29.505</v>
      </c>
      <c r="I725" s="6" t="inlineStr">
        <is>
          <t>BAIXO</t>
        </is>
      </c>
      <c r="J725" s="6" t="inlineStr">
        <is>
          <t>swine</t>
        </is>
      </c>
      <c r="K725" s="6" t="n">
        <v>7</v>
      </c>
    </row>
    <row r="726">
      <c r="A726" s="6" t="inlineStr">
        <is>
          <t>3145372</t>
        </is>
      </c>
      <c r="B726" s="6" t="inlineStr">
        <is>
          <t>3145372</t>
        </is>
      </c>
      <c r="C726" s="4" t="inlineStr">
        <is>
          <t>Montes Claros</t>
        </is>
      </c>
      <c r="D726" s="16" t="n">
        <v>4571</v>
      </c>
      <c r="E726" s="8" t="n">
        <v>271.61</v>
      </c>
      <c r="F726" s="7" t="n">
        <v>-16.0038595</v>
      </c>
      <c r="G726" s="7" t="n">
        <v>-42.38383583</v>
      </c>
      <c r="H726" s="8" t="n">
        <v>29.4962</v>
      </c>
      <c r="I726" s="6" t="inlineStr">
        <is>
          <t>BAIXO</t>
        </is>
      </c>
      <c r="J726" s="6" t="inlineStr">
        <is>
          <t>swine</t>
        </is>
      </c>
      <c r="K726" s="6" t="n">
        <v>10</v>
      </c>
    </row>
    <row r="727">
      <c r="A727" s="6" t="inlineStr">
        <is>
          <t>3155009</t>
        </is>
      </c>
      <c r="B727" s="6" t="inlineStr">
        <is>
          <t>3155009</t>
        </is>
      </c>
      <c r="C727" s="4" t="inlineStr">
        <is>
          <t>Juíz de Fora</t>
        </is>
      </c>
      <c r="D727" s="16" t="n">
        <v>2484</v>
      </c>
      <c r="E727" s="8" t="n">
        <v>112.094</v>
      </c>
      <c r="F727" s="7" t="n">
        <v>-20.212743</v>
      </c>
      <c r="G727" s="7" t="n">
        <v>-42.92323417</v>
      </c>
      <c r="H727" s="8" t="n">
        <v>29.491</v>
      </c>
      <c r="I727" s="6" t="inlineStr">
        <is>
          <t>BAIXO</t>
        </is>
      </c>
      <c r="J727" s="6" t="inlineStr">
        <is>
          <t>swine</t>
        </is>
      </c>
      <c r="K727" s="6" t="n">
        <v>7</v>
      </c>
    </row>
    <row r="728">
      <c r="A728" s="6" t="inlineStr">
        <is>
          <t>3113800</t>
        </is>
      </c>
      <c r="B728" s="6" t="inlineStr">
        <is>
          <t>3113800</t>
        </is>
      </c>
      <c r="C728" s="4" t="inlineStr">
        <is>
          <t>Belo Horizonte</t>
        </is>
      </c>
      <c r="D728" s="16" t="n">
        <v>2605</v>
      </c>
      <c r="E728" s="8" t="n">
        <v>259.103</v>
      </c>
      <c r="F728" s="7" t="n">
        <v>-19.055604</v>
      </c>
      <c r="G728" s="7" t="n">
        <v>-43.16258303</v>
      </c>
      <c r="H728" s="8" t="n">
        <v>29.0745</v>
      </c>
      <c r="I728" s="6" t="inlineStr">
        <is>
          <t>BAIXO</t>
        </is>
      </c>
      <c r="J728" s="6" t="inlineStr">
        <is>
          <t>swine</t>
        </is>
      </c>
      <c r="K728" s="6" t="n">
        <v>8</v>
      </c>
    </row>
    <row r="729">
      <c r="A729" s="6" t="inlineStr">
        <is>
          <t>3171907</t>
        </is>
      </c>
      <c r="B729" s="6" t="inlineStr">
        <is>
          <t>3171907</t>
        </is>
      </c>
      <c r="C729" s="4" t="inlineStr">
        <is>
          <t>Governador Valadares</t>
        </is>
      </c>
      <c r="D729" s="16" t="n">
        <v>4552</v>
      </c>
      <c r="E729" s="8" t="n">
        <v>281.022</v>
      </c>
      <c r="F729" s="7" t="n">
        <v>-18.462501</v>
      </c>
      <c r="G729" s="7" t="n">
        <v>-42.34080547</v>
      </c>
      <c r="H729" s="8" t="n">
        <v>28.6714</v>
      </c>
      <c r="I729" s="6" t="inlineStr">
        <is>
          <t>BAIXO</t>
        </is>
      </c>
      <c r="J729" s="6" t="inlineStr">
        <is>
          <t>swine</t>
        </is>
      </c>
      <c r="K729" s="6" t="n">
        <v>10</v>
      </c>
    </row>
    <row r="730">
      <c r="A730" s="6" t="inlineStr">
        <is>
          <t>3106002</t>
        </is>
      </c>
      <c r="B730" s="6" t="inlineStr">
        <is>
          <t>3106002</t>
        </is>
      </c>
      <c r="C730" s="4" t="inlineStr">
        <is>
          <t>Ipatinga</t>
        </is>
      </c>
      <c r="D730" s="16" t="n">
        <v>10167</v>
      </c>
      <c r="E730" s="8" t="n">
        <v>109.25</v>
      </c>
      <c r="F730" s="7" t="n">
        <v>-19.8062348</v>
      </c>
      <c r="G730" s="7" t="n">
        <v>-43.1025235</v>
      </c>
      <c r="H730" s="8" t="n">
        <v>28.6541</v>
      </c>
      <c r="I730" s="6" t="inlineStr">
        <is>
          <t>BAIXO</t>
        </is>
      </c>
      <c r="J730" s="6" t="inlineStr">
        <is>
          <t>forestry</t>
        </is>
      </c>
      <c r="K730" s="6" t="n">
        <v>7</v>
      </c>
    </row>
    <row r="731">
      <c r="A731" s="6" t="inlineStr">
        <is>
          <t>3163300</t>
        </is>
      </c>
      <c r="B731" s="6" t="inlineStr">
        <is>
          <t>3163300</t>
        </is>
      </c>
      <c r="C731" s="4" t="inlineStr">
        <is>
          <t>Teófilo Otoni</t>
        </is>
      </c>
      <c r="D731" s="16" t="n">
        <v>3464</v>
      </c>
      <c r="E731" s="8" t="n">
        <v>328.704</v>
      </c>
      <c r="F731" s="7" t="n">
        <v>-18.4003965</v>
      </c>
      <c r="G731" s="7" t="n">
        <v>-41.38194127</v>
      </c>
      <c r="H731" s="8" t="n">
        <v>28.6356</v>
      </c>
      <c r="I731" s="6" t="inlineStr">
        <is>
          <t>BAIXO</t>
        </is>
      </c>
      <c r="J731" s="6" t="inlineStr">
        <is>
          <t>swine</t>
        </is>
      </c>
      <c r="K731" s="6" t="n">
        <v>9</v>
      </c>
    </row>
    <row r="732">
      <c r="A732" s="6" t="inlineStr">
        <is>
          <t>3125200</t>
        </is>
      </c>
      <c r="B732" s="6" t="inlineStr">
        <is>
          <t>3125200</t>
        </is>
      </c>
      <c r="C732" s="4" t="inlineStr">
        <is>
          <t>Varginha</t>
        </is>
      </c>
      <c r="D732" s="16" t="n">
        <v>2578</v>
      </c>
      <c r="E732" s="8" t="n">
        <v>86.024</v>
      </c>
      <c r="F732" s="7" t="n">
        <v>-21.46304</v>
      </c>
      <c r="G732" s="7" t="n">
        <v>-45.80656071</v>
      </c>
      <c r="H732" s="8" t="n">
        <v>28.173</v>
      </c>
      <c r="I732" s="6" t="inlineStr">
        <is>
          <t>BAIXO</t>
        </is>
      </c>
      <c r="J732" s="6" t="inlineStr">
        <is>
          <t>swine</t>
        </is>
      </c>
      <c r="K732" s="6" t="n">
        <v>10</v>
      </c>
    </row>
    <row r="733">
      <c r="A733" s="6" t="inlineStr">
        <is>
          <t>3114709</t>
        </is>
      </c>
      <c r="B733" s="6" t="inlineStr">
        <is>
          <t>3114709</t>
        </is>
      </c>
      <c r="C733" s="4" t="inlineStr">
        <is>
          <t>Varginha</t>
        </is>
      </c>
      <c r="D733" s="16" t="n">
        <v>3341</v>
      </c>
      <c r="E733" s="8" t="n">
        <v>81.101</v>
      </c>
      <c r="F733" s="7" t="n">
        <v>-21.772763</v>
      </c>
      <c r="G733" s="7" t="n">
        <v>-45.83969668</v>
      </c>
      <c r="H733" s="8" t="n">
        <v>27.8887</v>
      </c>
      <c r="I733" s="6" t="inlineStr">
        <is>
          <t>BAIXO</t>
        </is>
      </c>
      <c r="J733" s="6" t="inlineStr">
        <is>
          <t>coffee</t>
        </is>
      </c>
      <c r="K733" s="6" t="n">
        <v>10</v>
      </c>
    </row>
    <row r="734">
      <c r="A734" s="6" t="inlineStr">
        <is>
          <t>3102209</t>
        </is>
      </c>
      <c r="B734" s="6" t="inlineStr">
        <is>
          <t>3102209</t>
        </is>
      </c>
      <c r="C734" s="4" t="inlineStr">
        <is>
          <t>Ipatinga</t>
        </is>
      </c>
      <c r="D734" s="16" t="n">
        <v>3975</v>
      </c>
      <c r="E734" s="8" t="n">
        <v>295.691</v>
      </c>
      <c r="F734" s="7" t="n">
        <v>-19.4139745</v>
      </c>
      <c r="G734" s="7" t="n">
        <v>-41.70770321</v>
      </c>
      <c r="H734" s="8" t="n">
        <v>27.8734</v>
      </c>
      <c r="I734" s="6" t="inlineStr">
        <is>
          <t>BAIXO</t>
        </is>
      </c>
      <c r="J734" s="6" t="inlineStr">
        <is>
          <t>swine</t>
        </is>
      </c>
      <c r="K734" s="6" t="n">
        <v>9</v>
      </c>
    </row>
    <row r="735">
      <c r="A735" s="6" t="inlineStr">
        <is>
          <t>3103306</t>
        </is>
      </c>
      <c r="B735" s="6" t="inlineStr">
        <is>
          <t>3103306</t>
        </is>
      </c>
      <c r="C735" s="4" t="inlineStr">
        <is>
          <t>Juíz de Fora</t>
        </is>
      </c>
      <c r="D735" s="16" t="n">
        <v>2049</v>
      </c>
      <c r="E735" s="8" t="n">
        <v>106.608</v>
      </c>
      <c r="F735" s="7" t="n">
        <v>-21.348713</v>
      </c>
      <c r="G735" s="7" t="n">
        <v>-43.3935423</v>
      </c>
      <c r="H735" s="8" t="n">
        <v>27.859</v>
      </c>
      <c r="I735" s="6" t="inlineStr">
        <is>
          <t>BAIXO</t>
        </is>
      </c>
      <c r="J735" s="6" t="inlineStr">
        <is>
          <t>swine</t>
        </is>
      </c>
      <c r="K735" s="6" t="n">
        <v>8</v>
      </c>
    </row>
    <row r="736">
      <c r="A736" s="6" t="inlineStr">
        <is>
          <t>3140605</t>
        </is>
      </c>
      <c r="B736" s="6" t="inlineStr">
        <is>
          <t>3140605</t>
        </is>
      </c>
      <c r="C736" s="4" t="inlineStr">
        <is>
          <t>Governador Valadares</t>
        </is>
      </c>
      <c r="D736" s="16" t="n">
        <v>3963</v>
      </c>
      <c r="E736" s="8" t="n">
        <v>280.53</v>
      </c>
      <c r="F736" s="7" t="n">
        <v>-18.46706</v>
      </c>
      <c r="G736" s="7" t="n">
        <v>-43.04970225</v>
      </c>
      <c r="H736" s="8" t="n">
        <v>27.851</v>
      </c>
      <c r="I736" s="6" t="inlineStr">
        <is>
          <t>BAIXO</t>
        </is>
      </c>
      <c r="J736" s="6" t="inlineStr">
        <is>
          <t>swine</t>
        </is>
      </c>
      <c r="K736" s="6" t="n">
        <v>8</v>
      </c>
    </row>
    <row r="737">
      <c r="A737" s="6" t="inlineStr">
        <is>
          <t>3103207</t>
        </is>
      </c>
      <c r="B737" s="6" t="inlineStr">
        <is>
          <t>3103207</t>
        </is>
      </c>
      <c r="C737" s="4" t="inlineStr">
        <is>
          <t>Belo Horizonte</t>
        </is>
      </c>
      <c r="D737" s="16" t="n">
        <v>2181</v>
      </c>
      <c r="E737" s="8" t="n">
        <v>187.53</v>
      </c>
      <c r="F737" s="7" t="n">
        <v>-19.25048</v>
      </c>
      <c r="G737" s="7" t="n">
        <v>-44.21477413</v>
      </c>
      <c r="H737" s="8" t="n">
        <v>27.7234</v>
      </c>
      <c r="I737" s="6" t="inlineStr">
        <is>
          <t>BAIXO</t>
        </is>
      </c>
      <c r="J737" s="6" t="inlineStr">
        <is>
          <t>swine</t>
        </is>
      </c>
      <c r="K737" s="6" t="n">
        <v>7</v>
      </c>
    </row>
    <row r="738">
      <c r="A738" s="6" t="inlineStr">
        <is>
          <t>3149507</t>
        </is>
      </c>
      <c r="B738" s="6" t="inlineStr">
        <is>
          <t>3149507</t>
        </is>
      </c>
      <c r="C738" s="4" t="inlineStr">
        <is>
          <t>Juíz de Fora</t>
        </is>
      </c>
      <c r="D738" s="16" t="n">
        <v>3351</v>
      </c>
      <c r="E738" s="8" t="n">
        <v>90.833</v>
      </c>
      <c r="F738" s="7" t="n">
        <v>-21.8247345</v>
      </c>
      <c r="G738" s="7" t="n">
        <v>-43.11146639</v>
      </c>
      <c r="H738" s="8" t="n">
        <v>27.5409</v>
      </c>
      <c r="I738" s="6" t="inlineStr">
        <is>
          <t>BAIXO</t>
        </is>
      </c>
      <c r="J738" s="6" t="inlineStr">
        <is>
          <t>swine</t>
        </is>
      </c>
      <c r="K738" s="6" t="n">
        <v>7</v>
      </c>
    </row>
    <row r="739">
      <c r="A739" s="6" t="inlineStr">
        <is>
          <t>3138906</t>
        </is>
      </c>
      <c r="B739" s="6" t="inlineStr">
        <is>
          <t>3138906</t>
        </is>
      </c>
      <c r="C739" s="4" t="inlineStr">
        <is>
          <t>Teófilo Otoni</t>
        </is>
      </c>
      <c r="D739" s="16" t="n">
        <v>6487</v>
      </c>
      <c r="E739" s="8" t="n">
        <v>332.378</v>
      </c>
      <c r="F739" s="7" t="n">
        <v>-17.084989</v>
      </c>
      <c r="G739" s="7" t="n">
        <v>-40.71250098</v>
      </c>
      <c r="H739" s="8" t="n">
        <v>27.4275</v>
      </c>
      <c r="I739" s="6" t="inlineStr">
        <is>
          <t>BAIXO</t>
        </is>
      </c>
      <c r="J739" s="6" t="inlineStr">
        <is>
          <t>swine</t>
        </is>
      </c>
      <c r="K739" s="6" t="n">
        <v>6</v>
      </c>
    </row>
    <row r="740">
      <c r="A740" s="6" t="inlineStr">
        <is>
          <t>3148202</t>
        </is>
      </c>
      <c r="B740" s="6" t="inlineStr">
        <is>
          <t>3148202</t>
        </is>
      </c>
      <c r="C740" s="4" t="inlineStr">
        <is>
          <t>Juíz de Fora</t>
        </is>
      </c>
      <c r="D740" s="16" t="n">
        <v>5576</v>
      </c>
      <c r="E740" s="8" t="n">
        <v>108.246</v>
      </c>
      <c r="F740" s="7" t="n">
        <v>-21.1714395</v>
      </c>
      <c r="G740" s="7" t="n">
        <v>-42.25944591</v>
      </c>
      <c r="H740" s="8" t="n">
        <v>27.4228</v>
      </c>
      <c r="I740" s="6" t="inlineStr">
        <is>
          <t>BAIXO</t>
        </is>
      </c>
      <c r="J740" s="6" t="inlineStr">
        <is>
          <t>swine</t>
        </is>
      </c>
      <c r="K740" s="6" t="n">
        <v>8</v>
      </c>
    </row>
    <row r="741">
      <c r="A741" s="6" t="inlineStr">
        <is>
          <t>3100401</t>
        </is>
      </c>
      <c r="B741" s="6" t="inlineStr">
        <is>
          <t>3100401</t>
        </is>
      </c>
      <c r="C741" s="4" t="inlineStr">
        <is>
          <t>Juíz de Fora</t>
        </is>
      </c>
      <c r="D741" s="16" t="n">
        <v>3909</v>
      </c>
      <c r="E741" s="8" t="n">
        <v>101.886</v>
      </c>
      <c r="F741" s="7" t="n">
        <v>-20.3982595</v>
      </c>
      <c r="G741" s="7" t="n">
        <v>-43.11145305</v>
      </c>
      <c r="H741" s="8" t="n">
        <v>27.3881</v>
      </c>
      <c r="I741" s="6" t="inlineStr">
        <is>
          <t>BAIXO</t>
        </is>
      </c>
      <c r="J741" s="6" t="inlineStr">
        <is>
          <t>swine</t>
        </is>
      </c>
      <c r="K741" s="6" t="n">
        <v>10</v>
      </c>
    </row>
    <row r="742">
      <c r="A742" s="6" t="inlineStr">
        <is>
          <t>3103603</t>
        </is>
      </c>
      <c r="B742" s="6" t="inlineStr">
        <is>
          <t>3103603</t>
        </is>
      </c>
      <c r="C742" s="4" t="inlineStr">
        <is>
          <t>Juíz de Fora</t>
        </is>
      </c>
      <c r="D742" s="16" t="n">
        <v>2915</v>
      </c>
      <c r="E742" s="8" t="n">
        <v>89.42</v>
      </c>
      <c r="F742" s="7" t="n">
        <v>-21.9009355</v>
      </c>
      <c r="G742" s="7" t="n">
        <v>-44.23867356</v>
      </c>
      <c r="H742" s="8" t="n">
        <v>27.2277</v>
      </c>
      <c r="I742" s="6" t="inlineStr">
        <is>
          <t>BAIXO</t>
        </is>
      </c>
      <c r="J742" s="6" t="inlineStr">
        <is>
          <t>swine</t>
        </is>
      </c>
      <c r="K742" s="6" t="n">
        <v>8</v>
      </c>
    </row>
    <row r="743">
      <c r="A743" s="6" t="inlineStr">
        <is>
          <t>3130101</t>
        </is>
      </c>
      <c r="B743" s="6" t="inlineStr">
        <is>
          <t>3130101</t>
        </is>
      </c>
      <c r="C743" s="4" t="inlineStr">
        <is>
          <t>Belo Horizonte</t>
        </is>
      </c>
      <c r="D743" s="16" t="n">
        <v>45847</v>
      </c>
      <c r="E743" s="8" t="n">
        <v>110.894</v>
      </c>
      <c r="F743" s="7" t="n">
        <v>-20.05842205</v>
      </c>
      <c r="G743" s="7" t="n">
        <v>-44.32901022</v>
      </c>
      <c r="H743" s="8" t="n">
        <v>27.1232</v>
      </c>
      <c r="I743" s="6" t="inlineStr">
        <is>
          <t>BAIXO</t>
        </is>
      </c>
      <c r="J743" s="6" t="inlineStr">
        <is>
          <t>rsu_organic</t>
        </is>
      </c>
      <c r="K743" s="6" t="n">
        <v>10</v>
      </c>
    </row>
    <row r="744">
      <c r="A744" s="6" t="inlineStr">
        <is>
          <t>3117207</t>
        </is>
      </c>
      <c r="B744" s="6" t="inlineStr">
        <is>
          <t>3117207</t>
        </is>
      </c>
      <c r="C744" s="4" t="inlineStr">
        <is>
          <t>Pouso Alegre</t>
        </is>
      </c>
      <c r="D744" s="16" t="n">
        <v>2772</v>
      </c>
      <c r="E744" s="8" t="n">
        <v>102.206</v>
      </c>
      <c r="F744" s="7" t="n">
        <v>-22.1390335</v>
      </c>
      <c r="G744" s="7" t="n">
        <v>-45.43476787</v>
      </c>
      <c r="H744" s="8" t="n">
        <v>26.8398</v>
      </c>
      <c r="I744" s="6" t="inlineStr">
        <is>
          <t>BAIXO</t>
        </is>
      </c>
      <c r="J744" s="6" t="inlineStr">
        <is>
          <t>swine</t>
        </is>
      </c>
      <c r="K744" s="6" t="n">
        <v>11</v>
      </c>
    </row>
    <row r="745">
      <c r="A745" s="6" t="inlineStr">
        <is>
          <t>3119708</t>
        </is>
      </c>
      <c r="B745" s="6" t="inlineStr">
        <is>
          <t>3119708</t>
        </is>
      </c>
      <c r="C745" s="4" t="inlineStr">
        <is>
          <t>Barbacena</t>
        </is>
      </c>
      <c r="D745" s="16" t="n">
        <v>3486</v>
      </c>
      <c r="E745" s="8" t="n">
        <v>140.954</v>
      </c>
      <c r="F745" s="7" t="n">
        <v>-21.022225</v>
      </c>
      <c r="G745" s="7" t="n">
        <v>-44.20420082</v>
      </c>
      <c r="H745" s="8" t="n">
        <v>26.8328</v>
      </c>
      <c r="I745" s="6" t="inlineStr">
        <is>
          <t>BAIXO</t>
        </is>
      </c>
      <c r="J745" s="6" t="inlineStr">
        <is>
          <t>swine</t>
        </is>
      </c>
      <c r="K745" s="6" t="n">
        <v>9</v>
      </c>
    </row>
    <row r="746">
      <c r="A746" s="6" t="inlineStr">
        <is>
          <t>3171154</t>
        </is>
      </c>
      <c r="B746" s="6" t="inlineStr">
        <is>
          <t>3171154</t>
        </is>
      </c>
      <c r="C746" s="4" t="inlineStr">
        <is>
          <t>Ipatinga</t>
        </is>
      </c>
      <c r="D746" s="16" t="n">
        <v>4899</v>
      </c>
      <c r="E746" s="8" t="n">
        <v>115.242</v>
      </c>
      <c r="F746" s="7" t="n">
        <v>-20.0276211</v>
      </c>
      <c r="G746" s="7" t="n">
        <v>-42.2603601</v>
      </c>
      <c r="H746" s="8" t="n">
        <v>26.7253</v>
      </c>
      <c r="I746" s="6" t="inlineStr">
        <is>
          <t>BAIXO</t>
        </is>
      </c>
      <c r="J746" s="6" t="inlineStr">
        <is>
          <t>coffee</t>
        </is>
      </c>
      <c r="K746" s="6" t="n">
        <v>9</v>
      </c>
    </row>
    <row r="747">
      <c r="A747" s="6" t="inlineStr">
        <is>
          <t>3151008</t>
        </is>
      </c>
      <c r="B747" s="6" t="inlineStr">
        <is>
          <t>3151008</t>
        </is>
      </c>
      <c r="C747" s="4" t="inlineStr">
        <is>
          <t>Pouso Alegre</t>
        </is>
      </c>
      <c r="D747" s="16" t="n">
        <v>9120</v>
      </c>
      <c r="E747" s="8" t="n">
        <v>124.803</v>
      </c>
      <c r="F747" s="7" t="n">
        <v>-22.3788795</v>
      </c>
      <c r="G747" s="7" t="n">
        <v>-45.55072178</v>
      </c>
      <c r="H747" s="8" t="n">
        <v>26.2572</v>
      </c>
      <c r="I747" s="6" t="inlineStr">
        <is>
          <t>BAIXO</t>
        </is>
      </c>
      <c r="J747" s="6" t="inlineStr">
        <is>
          <t>swine</t>
        </is>
      </c>
      <c r="K747" s="6" t="n">
        <v>12</v>
      </c>
    </row>
    <row r="748">
      <c r="A748" s="6" t="inlineStr">
        <is>
          <t>3127057</t>
        </is>
      </c>
      <c r="B748" s="6" t="inlineStr">
        <is>
          <t>3127057</t>
        </is>
      </c>
      <c r="C748" s="4" t="inlineStr">
        <is>
          <t>Teófilo Otoni</t>
        </is>
      </c>
      <c r="D748" s="16" t="n">
        <v>4345</v>
      </c>
      <c r="E748" s="8" t="n">
        <v>320.757</v>
      </c>
      <c r="F748" s="7" t="n">
        <v>-16.89018</v>
      </c>
      <c r="G748" s="7" t="n">
        <v>-40.85310662</v>
      </c>
      <c r="H748" s="8" t="n">
        <v>26.0983</v>
      </c>
      <c r="I748" s="6" t="inlineStr">
        <is>
          <t>BAIXO</t>
        </is>
      </c>
      <c r="J748" s="6" t="inlineStr">
        <is>
          <t>swine</t>
        </is>
      </c>
      <c r="K748" s="6" t="n">
        <v>7</v>
      </c>
    </row>
    <row r="749">
      <c r="A749" s="6" t="inlineStr">
        <is>
          <t>3141504</t>
        </is>
      </c>
      <c r="B749" s="6" t="inlineStr">
        <is>
          <t>3141504</t>
        </is>
      </c>
      <c r="C749" s="4" t="inlineStr">
        <is>
          <t>Governador Valadares</t>
        </is>
      </c>
      <c r="D749" s="16" t="n">
        <v>5606</v>
      </c>
      <c r="E749" s="8" t="n">
        <v>305.507</v>
      </c>
      <c r="F749" s="7" t="n">
        <v>-18.6062495</v>
      </c>
      <c r="G749" s="7" t="n">
        <v>-41.35880366</v>
      </c>
      <c r="H749" s="8" t="n">
        <v>25.8776</v>
      </c>
      <c r="I749" s="6" t="inlineStr">
        <is>
          <t>BAIXO</t>
        </is>
      </c>
      <c r="J749" s="6" t="inlineStr">
        <is>
          <t>swine</t>
        </is>
      </c>
      <c r="K749" s="6" t="n">
        <v>8</v>
      </c>
    </row>
    <row r="750">
      <c r="A750" s="6" t="inlineStr">
        <is>
          <t>3166402</t>
        </is>
      </c>
      <c r="B750" s="6" t="inlineStr">
        <is>
          <t>3166402</t>
        </is>
      </c>
      <c r="C750" s="4" t="inlineStr">
        <is>
          <t>Pouso Alegre</t>
        </is>
      </c>
      <c r="D750" s="16" t="n">
        <v>1819</v>
      </c>
      <c r="E750" s="8" t="n">
        <v>114.769</v>
      </c>
      <c r="F750" s="7" t="n">
        <v>-21.917336</v>
      </c>
      <c r="G750" s="7" t="n">
        <v>-44.46973795</v>
      </c>
      <c r="H750" s="8" t="n">
        <v>25.8553</v>
      </c>
      <c r="I750" s="6" t="inlineStr">
        <is>
          <t>BAIXO</t>
        </is>
      </c>
      <c r="J750" s="6" t="inlineStr">
        <is>
          <t>swine</t>
        </is>
      </c>
      <c r="K750" s="6" t="n">
        <v>9</v>
      </c>
    </row>
    <row r="751">
      <c r="A751" s="6" t="inlineStr">
        <is>
          <t>3101300</t>
        </is>
      </c>
      <c r="B751" s="6" t="inlineStr">
        <is>
          <t>3101300</t>
        </is>
      </c>
      <c r="C751" s="4" t="inlineStr">
        <is>
          <t>Pouso Alegre</t>
        </is>
      </c>
      <c r="D751" s="16" t="n">
        <v>2749</v>
      </c>
      <c r="E751" s="8" t="n">
        <v>161.356</v>
      </c>
      <c r="F751" s="7" t="n">
        <v>-22.1830845</v>
      </c>
      <c r="G751" s="7" t="n">
        <v>-44.64705864</v>
      </c>
      <c r="H751" s="8" t="n">
        <v>25.8104</v>
      </c>
      <c r="I751" s="6" t="inlineStr">
        <is>
          <t>BAIXO</t>
        </is>
      </c>
      <c r="J751" s="6" t="inlineStr">
        <is>
          <t>swine</t>
        </is>
      </c>
      <c r="K751" s="6" t="n">
        <v>8</v>
      </c>
    </row>
    <row r="752">
      <c r="A752" s="6" t="inlineStr">
        <is>
          <t>3163706</t>
        </is>
      </c>
      <c r="B752" s="6" t="inlineStr">
        <is>
          <t>3163706</t>
        </is>
      </c>
      <c r="C752" s="4" t="inlineStr">
        <is>
          <t>Pouso Alegre</t>
        </is>
      </c>
      <c r="D752" s="16" t="n">
        <v>44798</v>
      </c>
      <c r="E752" s="8" t="n">
        <v>58.019</v>
      </c>
      <c r="F752" s="7" t="n">
        <v>-22.11464545</v>
      </c>
      <c r="G752" s="7" t="n">
        <v>-45.04227392</v>
      </c>
      <c r="H752" s="8" t="n">
        <v>25.5576</v>
      </c>
      <c r="I752" s="6" t="inlineStr">
        <is>
          <t>BAIXO</t>
        </is>
      </c>
      <c r="J752" s="6" t="inlineStr">
        <is>
          <t>rsu_organic</t>
        </is>
      </c>
      <c r="K752" s="6" t="n">
        <v>9</v>
      </c>
    </row>
    <row r="753">
      <c r="A753" s="6" t="inlineStr">
        <is>
          <t>3154804</t>
        </is>
      </c>
      <c r="B753" s="6" t="inlineStr">
        <is>
          <t>3154804</t>
        </is>
      </c>
      <c r="C753" s="4" t="inlineStr">
        <is>
          <t>Belo Horizonte</t>
        </is>
      </c>
      <c r="D753" s="16" t="n">
        <v>10261</v>
      </c>
      <c r="E753" s="8" t="n">
        <v>228.899</v>
      </c>
      <c r="F753" s="7" t="n">
        <v>-20.09982725</v>
      </c>
      <c r="G753" s="7" t="n">
        <v>-43.76316641</v>
      </c>
      <c r="H753" s="8" t="n">
        <v>25.5481</v>
      </c>
      <c r="I753" s="6" t="inlineStr">
        <is>
          <t>BAIXO</t>
        </is>
      </c>
      <c r="J753" s="6" t="inlineStr">
        <is>
          <t>swine</t>
        </is>
      </c>
      <c r="K753" s="6" t="n">
        <v>8</v>
      </c>
    </row>
    <row r="754">
      <c r="A754" s="6" t="inlineStr">
        <is>
          <t>3109907</t>
        </is>
      </c>
      <c r="B754" s="6" t="inlineStr">
        <is>
          <t>3109907</t>
        </is>
      </c>
      <c r="C754" s="4" t="inlineStr">
        <is>
          <t>Belo Horizonte</t>
        </is>
      </c>
      <c r="D754" s="16" t="n">
        <v>11435</v>
      </c>
      <c r="E754" s="8" t="n">
        <v>156.039</v>
      </c>
      <c r="F754" s="7" t="n">
        <v>-19.3407255</v>
      </c>
      <c r="G754" s="7" t="n">
        <v>-44.41990581</v>
      </c>
      <c r="H754" s="8" t="n">
        <v>25.4948</v>
      </c>
      <c r="I754" s="6" t="inlineStr">
        <is>
          <t>BAIXO</t>
        </is>
      </c>
      <c r="J754" s="6" t="inlineStr">
        <is>
          <t>swine</t>
        </is>
      </c>
      <c r="K754" s="6" t="n">
        <v>9</v>
      </c>
    </row>
    <row r="755">
      <c r="A755" s="6" t="inlineStr">
        <is>
          <t>3150000</t>
        </is>
      </c>
      <c r="B755" s="6" t="inlineStr">
        <is>
          <t>3150000</t>
        </is>
      </c>
      <c r="C755" s="4" t="inlineStr">
        <is>
          <t>Teófilo Otoni</t>
        </is>
      </c>
      <c r="D755" s="16" t="n">
        <v>3570</v>
      </c>
      <c r="E755" s="8" t="n">
        <v>317.463</v>
      </c>
      <c r="F755" s="7" t="n">
        <v>-18.3368295</v>
      </c>
      <c r="G755" s="7" t="n">
        <v>-41.57167269</v>
      </c>
      <c r="H755" s="8" t="n">
        <v>25.3506</v>
      </c>
      <c r="I755" s="6" t="inlineStr">
        <is>
          <t>BAIXO</t>
        </is>
      </c>
      <c r="J755" s="6" t="inlineStr">
        <is>
          <t>swine</t>
        </is>
      </c>
      <c r="K755" s="6" t="n">
        <v>7</v>
      </c>
    </row>
    <row r="756">
      <c r="A756" s="6" t="inlineStr">
        <is>
          <t>3140407</t>
        </is>
      </c>
      <c r="B756" s="6" t="inlineStr">
        <is>
          <t>3140407</t>
        </is>
      </c>
      <c r="C756" s="4" t="inlineStr">
        <is>
          <t>Pouso Alegre</t>
        </is>
      </c>
      <c r="D756" s="16" t="n">
        <v>3200</v>
      </c>
      <c r="E756" s="8" t="n">
        <v>107.902</v>
      </c>
      <c r="F756" s="7" t="n">
        <v>-22.465545</v>
      </c>
      <c r="G756" s="7" t="n">
        <v>-45.17342247</v>
      </c>
      <c r="H756" s="8" t="n">
        <v>25.2038</v>
      </c>
      <c r="I756" s="6" t="inlineStr">
        <is>
          <t>BAIXO</t>
        </is>
      </c>
      <c r="J756" s="6" t="inlineStr">
        <is>
          <t>swine</t>
        </is>
      </c>
      <c r="K756" s="6" t="n">
        <v>9</v>
      </c>
    </row>
    <row r="757">
      <c r="A757" s="6" t="inlineStr">
        <is>
          <t>3120409</t>
        </is>
      </c>
      <c r="B757" s="6" t="inlineStr">
        <is>
          <t>3120409</t>
        </is>
      </c>
      <c r="C757" s="4" t="inlineStr">
        <is>
          <t>Barbacena</t>
        </is>
      </c>
      <c r="D757" s="16" t="n">
        <v>4667</v>
      </c>
      <c r="E757" s="8" t="n">
        <v>132.872</v>
      </c>
      <c r="F757" s="7" t="n">
        <v>-20.83392649</v>
      </c>
      <c r="G757" s="7" t="n">
        <v>-43.81285941</v>
      </c>
      <c r="H757" s="8" t="n">
        <v>24.9413</v>
      </c>
      <c r="I757" s="6" t="inlineStr">
        <is>
          <t>BAIXO</t>
        </is>
      </c>
      <c r="J757" s="6" t="inlineStr">
        <is>
          <t>swine</t>
        </is>
      </c>
      <c r="K757" s="6" t="n">
        <v>8</v>
      </c>
    </row>
    <row r="758">
      <c r="A758" s="6" t="inlineStr">
        <is>
          <t>3161650</t>
        </is>
      </c>
      <c r="B758" s="6" t="inlineStr">
        <is>
          <t>3161650</t>
        </is>
      </c>
      <c r="C758" s="4" t="inlineStr">
        <is>
          <t>Governador Valadares</t>
        </is>
      </c>
      <c r="D758" s="16" t="n">
        <v>3143</v>
      </c>
      <c r="E758" s="8" t="n">
        <v>280.954</v>
      </c>
      <c r="F758" s="7" t="n">
        <v>-18.92795251</v>
      </c>
      <c r="G758" s="7" t="n">
        <v>-41.37582892</v>
      </c>
      <c r="H758" s="8" t="n">
        <v>24.9251</v>
      </c>
      <c r="I758" s="6" t="inlineStr">
        <is>
          <t>BAIXO</t>
        </is>
      </c>
      <c r="J758" s="6" t="inlineStr">
        <is>
          <t>swine</t>
        </is>
      </c>
      <c r="K758" s="6" t="n">
        <v>9</v>
      </c>
    </row>
    <row r="759">
      <c r="A759" s="6" t="inlineStr">
        <is>
          <t>3139250</t>
        </is>
      </c>
      <c r="B759" s="6" t="inlineStr">
        <is>
          <t>3139250</t>
        </is>
      </c>
      <c r="C759" s="4" t="inlineStr">
        <is>
          <t>Montes Claros</t>
        </is>
      </c>
      <c r="D759" s="16" t="n">
        <v>5997</v>
      </c>
      <c r="E759" s="8" t="n">
        <v>284.365</v>
      </c>
      <c r="F759" s="7" t="n">
        <v>-15.0139975</v>
      </c>
      <c r="G759" s="7" t="n">
        <v>-42.9562709</v>
      </c>
      <c r="H759" s="8" t="n">
        <v>24.81</v>
      </c>
      <c r="I759" s="6" t="inlineStr">
        <is>
          <t>BAIXO</t>
        </is>
      </c>
      <c r="J759" s="6" t="inlineStr">
        <is>
          <t>swine</t>
        </is>
      </c>
      <c r="K759" s="6" t="n">
        <v>7</v>
      </c>
    </row>
    <row r="760">
      <c r="A760" s="6" t="inlineStr">
        <is>
          <t>3123007</t>
        </is>
      </c>
      <c r="B760" s="6" t="inlineStr">
        <is>
          <t>3123007</t>
        </is>
      </c>
      <c r="C760" s="4" t="inlineStr">
        <is>
          <t>Barbacena</t>
        </is>
      </c>
      <c r="D760" s="16" t="n">
        <v>10007</v>
      </c>
      <c r="E760" s="8" t="n">
        <v>124.842</v>
      </c>
      <c r="F760" s="7" t="n">
        <v>-21.1011785</v>
      </c>
      <c r="G760" s="7" t="n">
        <v>-43.99300117</v>
      </c>
      <c r="H760" s="8" t="n">
        <v>24.612</v>
      </c>
      <c r="I760" s="6" t="inlineStr">
        <is>
          <t>BAIXO</t>
        </is>
      </c>
      <c r="J760" s="6" t="inlineStr">
        <is>
          <t>swine</t>
        </is>
      </c>
      <c r="K760" s="6" t="n">
        <v>8</v>
      </c>
    </row>
    <row r="761">
      <c r="A761" s="6" t="inlineStr">
        <is>
          <t>3115508</t>
        </is>
      </c>
      <c r="B761" s="6" t="inlineStr">
        <is>
          <t>3115508</t>
        </is>
      </c>
      <c r="C761" s="4" t="inlineStr">
        <is>
          <t>Pouso Alegre</t>
        </is>
      </c>
      <c r="D761" s="16" t="n">
        <v>21056</v>
      </c>
      <c r="E761" s="8" t="n">
        <v>100.483</v>
      </c>
      <c r="F761" s="7" t="n">
        <v>-21.9925555</v>
      </c>
      <c r="G761" s="7" t="n">
        <v>-44.94033015</v>
      </c>
      <c r="H761" s="8" t="n">
        <v>24.4502</v>
      </c>
      <c r="I761" s="6" t="inlineStr">
        <is>
          <t>BAIXO</t>
        </is>
      </c>
      <c r="J761" s="6" t="inlineStr">
        <is>
          <t>swine</t>
        </is>
      </c>
      <c r="K761" s="6" t="n">
        <v>9</v>
      </c>
    </row>
    <row r="762">
      <c r="A762" s="6" t="inlineStr">
        <is>
          <t>3120839</t>
        </is>
      </c>
      <c r="B762" s="6" t="inlineStr">
        <is>
          <t>3120839</t>
        </is>
      </c>
      <c r="C762" s="4" t="inlineStr">
        <is>
          <t>Governador Valadares</t>
        </is>
      </c>
      <c r="D762" s="16" t="n">
        <v>3983</v>
      </c>
      <c r="E762" s="8" t="n">
        <v>226.75</v>
      </c>
      <c r="F762" s="7" t="n">
        <v>-18.989276</v>
      </c>
      <c r="G762" s="7" t="n">
        <v>-41.09515916</v>
      </c>
      <c r="H762" s="8" t="n">
        <v>24.1986</v>
      </c>
      <c r="I762" s="6" t="inlineStr">
        <is>
          <t>BAIXO</t>
        </is>
      </c>
      <c r="J762" s="6" t="inlineStr">
        <is>
          <t>swine</t>
        </is>
      </c>
      <c r="K762" s="6" t="n">
        <v>10</v>
      </c>
    </row>
    <row r="763">
      <c r="A763" s="6" t="inlineStr">
        <is>
          <t>3149002</t>
        </is>
      </c>
      <c r="B763" s="6" t="inlineStr">
        <is>
          <t>3149002</t>
        </is>
      </c>
      <c r="C763" s="4" t="inlineStr">
        <is>
          <t>Juíz de Fora</t>
        </is>
      </c>
      <c r="D763" s="16" t="n">
        <v>2757</v>
      </c>
      <c r="E763" s="8" t="n">
        <v>69.98999999999999</v>
      </c>
      <c r="F763" s="7" t="n">
        <v>-20.8278075</v>
      </c>
      <c r="G763" s="7" t="n">
        <v>-42.15504384</v>
      </c>
      <c r="H763" s="8" t="n">
        <v>24.1549</v>
      </c>
      <c r="I763" s="6" t="inlineStr">
        <is>
          <t>BAIXO</t>
        </is>
      </c>
      <c r="J763" s="6" t="inlineStr">
        <is>
          <t>swine</t>
        </is>
      </c>
      <c r="K763" s="6" t="n">
        <v>9</v>
      </c>
    </row>
    <row r="764">
      <c r="A764" s="6" t="inlineStr">
        <is>
          <t>3165602</t>
        </is>
      </c>
      <c r="B764" s="6" t="inlineStr">
        <is>
          <t>3165602</t>
        </is>
      </c>
      <c r="C764" s="4" t="inlineStr">
        <is>
          <t>Juíz de Fora</t>
        </is>
      </c>
      <c r="D764" s="16" t="n">
        <v>2240</v>
      </c>
      <c r="E764" s="8" t="n">
        <v>98.336</v>
      </c>
      <c r="F764" s="7" t="n">
        <v>-21.760632</v>
      </c>
      <c r="G764" s="7" t="n">
        <v>-42.89937932</v>
      </c>
      <c r="H764" s="8" t="n">
        <v>24.0849</v>
      </c>
      <c r="I764" s="6" t="inlineStr">
        <is>
          <t>BAIXO</t>
        </is>
      </c>
      <c r="J764" s="6" t="inlineStr">
        <is>
          <t>swine</t>
        </is>
      </c>
      <c r="K764" s="6" t="n">
        <v>6</v>
      </c>
    </row>
    <row r="765">
      <c r="A765" s="6" t="inlineStr">
        <is>
          <t>3164431</t>
        </is>
      </c>
      <c r="B765" s="6" t="inlineStr">
        <is>
          <t>3164431</t>
        </is>
      </c>
      <c r="C765" s="4" t="inlineStr">
        <is>
          <t>Juíz de Fora</t>
        </is>
      </c>
      <c r="D765" s="16" t="n">
        <v>3113</v>
      </c>
      <c r="E765" s="8" t="n">
        <v>73.629</v>
      </c>
      <c r="F765" s="7" t="n">
        <v>-21.0154255</v>
      </c>
      <c r="G765" s="7" t="n">
        <v>-42.59269831</v>
      </c>
      <c r="H765" s="8" t="n">
        <v>23.8294</v>
      </c>
      <c r="I765" s="6" t="inlineStr">
        <is>
          <t>BAIXO</t>
        </is>
      </c>
      <c r="J765" s="6" t="inlineStr">
        <is>
          <t>swine</t>
        </is>
      </c>
      <c r="K765" s="6" t="n">
        <v>8</v>
      </c>
    </row>
    <row r="766">
      <c r="A766" s="6" t="inlineStr">
        <is>
          <t>3115474</t>
        </is>
      </c>
      <c r="B766" s="6" t="inlineStr">
        <is>
          <t>3115474</t>
        </is>
      </c>
      <c r="C766" s="4" t="inlineStr">
        <is>
          <t>Montes Claros</t>
        </is>
      </c>
      <c r="D766" s="16" t="n">
        <v>4739</v>
      </c>
      <c r="E766" s="8" t="n">
        <v>287.812</v>
      </c>
      <c r="F766" s="7" t="n">
        <v>-15.341066</v>
      </c>
      <c r="G766" s="7" t="n">
        <v>-43.06203922</v>
      </c>
      <c r="H766" s="8" t="n">
        <v>23.8279</v>
      </c>
      <c r="I766" s="6" t="inlineStr">
        <is>
          <t>BAIXO</t>
        </is>
      </c>
      <c r="J766" s="6" t="inlineStr">
        <is>
          <t>swine</t>
        </is>
      </c>
      <c r="K766" s="6" t="n">
        <v>6</v>
      </c>
    </row>
    <row r="767">
      <c r="A767" s="6" t="inlineStr">
        <is>
          <t>3140555</t>
        </is>
      </c>
      <c r="B767" s="6" t="inlineStr">
        <is>
          <t>3140555</t>
        </is>
      </c>
      <c r="C767" s="4" t="inlineStr">
        <is>
          <t>Teófilo Otoni</t>
        </is>
      </c>
      <c r="D767" s="16" t="n">
        <v>9112</v>
      </c>
      <c r="E767" s="8" t="n">
        <v>227.539</v>
      </c>
      <c r="F767" s="7" t="n">
        <v>-15.7671995</v>
      </c>
      <c r="G767" s="7" t="n">
        <v>-40.69755911</v>
      </c>
      <c r="H767" s="8" t="n">
        <v>23.7867</v>
      </c>
      <c r="I767" s="6" t="inlineStr">
        <is>
          <t>BAIXO</t>
        </is>
      </c>
      <c r="J767" s="6" t="inlineStr">
        <is>
          <t>swine</t>
        </is>
      </c>
      <c r="K767" s="6" t="n">
        <v>8</v>
      </c>
    </row>
    <row r="768">
      <c r="A768" s="6" t="inlineStr">
        <is>
          <t>3157658</t>
        </is>
      </c>
      <c r="B768" s="6" t="inlineStr">
        <is>
          <t>3157658</t>
        </is>
      </c>
      <c r="C768" s="4" t="inlineStr">
        <is>
          <t>Teófilo Otoni</t>
        </is>
      </c>
      <c r="D768" s="16" t="n">
        <v>5938</v>
      </c>
      <c r="E768" s="8" t="n">
        <v>276.433</v>
      </c>
      <c r="F768" s="7" t="n">
        <v>-16.9089455</v>
      </c>
      <c r="G768" s="7" t="n">
        <v>-40.67415715</v>
      </c>
      <c r="H768" s="8" t="n">
        <v>23.5325</v>
      </c>
      <c r="I768" s="6" t="inlineStr">
        <is>
          <t>BAIXO</t>
        </is>
      </c>
      <c r="J768" s="6" t="inlineStr">
        <is>
          <t>swine</t>
        </is>
      </c>
      <c r="K768" s="6" t="n">
        <v>7</v>
      </c>
    </row>
    <row r="769">
      <c r="A769" s="6" t="inlineStr">
        <is>
          <t>3112653</t>
        </is>
      </c>
      <c r="B769" s="6" t="inlineStr">
        <is>
          <t>3112653</t>
        </is>
      </c>
      <c r="C769" s="4" t="inlineStr">
        <is>
          <t>Governador Valadares</t>
        </is>
      </c>
      <c r="D769" s="16" t="n">
        <v>4585</v>
      </c>
      <c r="E769" s="8" t="n">
        <v>279.088</v>
      </c>
      <c r="F769" s="7" t="n">
        <v>-19.0505325</v>
      </c>
      <c r="G769" s="7" t="n">
        <v>-41.82001999</v>
      </c>
      <c r="H769" s="8" t="n">
        <v>23.4072</v>
      </c>
      <c r="I769" s="6" t="inlineStr">
        <is>
          <t>BAIXO</t>
        </is>
      </c>
      <c r="J769" s="6" t="inlineStr">
        <is>
          <t>swine</t>
        </is>
      </c>
      <c r="K769" s="6" t="n">
        <v>7</v>
      </c>
    </row>
    <row r="770">
      <c r="A770" s="6" t="inlineStr">
        <is>
          <t>3126950</t>
        </is>
      </c>
      <c r="B770" s="6" t="inlineStr">
        <is>
          <t>3126950</t>
        </is>
      </c>
      <c r="C770" s="4" t="inlineStr">
        <is>
          <t>Governador Valadares</t>
        </is>
      </c>
      <c r="D770" s="16" t="n">
        <v>3391</v>
      </c>
      <c r="E770" s="8" t="n">
        <v>167.474</v>
      </c>
      <c r="F770" s="7" t="n">
        <v>-18.1471795</v>
      </c>
      <c r="G770" s="7" t="n">
        <v>-42.75676044</v>
      </c>
      <c r="H770" s="8" t="n">
        <v>23.3973</v>
      </c>
      <c r="I770" s="6" t="inlineStr">
        <is>
          <t>BAIXO</t>
        </is>
      </c>
      <c r="J770" s="6" t="inlineStr">
        <is>
          <t>swine</t>
        </is>
      </c>
      <c r="K770" s="6" t="n">
        <v>9</v>
      </c>
    </row>
    <row r="771">
      <c r="A771" s="6" t="inlineStr">
        <is>
          <t>3138658</t>
        </is>
      </c>
      <c r="B771" s="6" t="inlineStr">
        <is>
          <t>3138658</t>
        </is>
      </c>
      <c r="C771" s="4" t="inlineStr">
        <is>
          <t>Montes Claros</t>
        </is>
      </c>
      <c r="D771" s="16" t="n">
        <v>8790</v>
      </c>
      <c r="E771" s="8" t="n">
        <v>258.925</v>
      </c>
      <c r="F771" s="7" t="n">
        <v>-15.8407385</v>
      </c>
      <c r="G771" s="7" t="n">
        <v>-44.24202462</v>
      </c>
      <c r="H771" s="8" t="n">
        <v>23.3181</v>
      </c>
      <c r="I771" s="6" t="inlineStr">
        <is>
          <t>BAIXO</t>
        </is>
      </c>
      <c r="J771" s="6" t="inlineStr">
        <is>
          <t>swine</t>
        </is>
      </c>
      <c r="K771" s="6" t="n">
        <v>7</v>
      </c>
    </row>
    <row r="772">
      <c r="A772" s="6" t="inlineStr">
        <is>
          <t>3164472</t>
        </is>
      </c>
      <c r="B772" s="6" t="inlineStr">
        <is>
          <t>3164472</t>
        </is>
      </c>
      <c r="C772" s="4" t="inlineStr">
        <is>
          <t>Ipatinga</t>
        </is>
      </c>
      <c r="D772" s="16" t="n">
        <v>6194</v>
      </c>
      <c r="E772" s="8" t="n">
        <v>80.61799999999999</v>
      </c>
      <c r="F772" s="7" t="n">
        <v>-19.505506</v>
      </c>
      <c r="G772" s="7" t="n">
        <v>-41.96479957</v>
      </c>
      <c r="H772" s="8" t="n">
        <v>23.2983</v>
      </c>
      <c r="I772" s="6" t="inlineStr">
        <is>
          <t>BAIXO</t>
        </is>
      </c>
      <c r="J772" s="6" t="inlineStr">
        <is>
          <t>coffee</t>
        </is>
      </c>
      <c r="K772" s="6" t="n">
        <v>8</v>
      </c>
    </row>
    <row r="773">
      <c r="A773" s="6" t="inlineStr">
        <is>
          <t>3128501</t>
        </is>
      </c>
      <c r="B773" s="6" t="inlineStr">
        <is>
          <t>3128501</t>
        </is>
      </c>
      <c r="C773" s="4" t="inlineStr">
        <is>
          <t>Juíz de Fora</t>
        </is>
      </c>
      <c r="D773" s="16" t="n">
        <v>3149</v>
      </c>
      <c r="E773" s="8" t="n">
        <v>88.655</v>
      </c>
      <c r="F773" s="7" t="n">
        <v>-21.762726</v>
      </c>
      <c r="G773" s="7" t="n">
        <v>-43.02594978</v>
      </c>
      <c r="H773" s="8" t="n">
        <v>22.9565</v>
      </c>
      <c r="I773" s="6" t="inlineStr">
        <is>
          <t>BAIXO</t>
        </is>
      </c>
      <c r="J773" s="6" t="inlineStr">
        <is>
          <t>swine</t>
        </is>
      </c>
      <c r="K773" s="6" t="n">
        <v>10</v>
      </c>
    </row>
    <row r="774">
      <c r="A774" s="6" t="inlineStr">
        <is>
          <t>3116308</t>
        </is>
      </c>
      <c r="B774" s="6" t="inlineStr">
        <is>
          <t>3116308</t>
        </is>
      </c>
      <c r="C774" s="4" t="inlineStr">
        <is>
          <t>Barbacena</t>
        </is>
      </c>
      <c r="D774" s="16" t="n">
        <v>5581</v>
      </c>
      <c r="E774" s="8" t="n">
        <v>153.479</v>
      </c>
      <c r="F774" s="7" t="n">
        <v>-20.915187</v>
      </c>
      <c r="G774" s="7" t="n">
        <v>-43.34847861</v>
      </c>
      <c r="H774" s="8" t="n">
        <v>22.9532</v>
      </c>
      <c r="I774" s="6" t="inlineStr">
        <is>
          <t>BAIXO</t>
        </is>
      </c>
      <c r="J774" s="6" t="inlineStr">
        <is>
          <t>swine</t>
        </is>
      </c>
      <c r="K774" s="6" t="n">
        <v>8</v>
      </c>
    </row>
    <row r="775">
      <c r="A775" s="6" t="inlineStr">
        <is>
          <t>3159100</t>
        </is>
      </c>
      <c r="B775" s="6" t="inlineStr">
        <is>
          <t>3159100</t>
        </is>
      </c>
      <c r="C775" s="4" t="inlineStr">
        <is>
          <t>Barbacena</t>
        </is>
      </c>
      <c r="D775" s="16" t="n">
        <v>3469</v>
      </c>
      <c r="E775" s="8" t="n">
        <v>196.565</v>
      </c>
      <c r="F775" s="7" t="n">
        <v>-20.7881035</v>
      </c>
      <c r="G775" s="7" t="n">
        <v>-43.66563945</v>
      </c>
      <c r="H775" s="8" t="n">
        <v>22.3776</v>
      </c>
      <c r="I775" s="6" t="inlineStr">
        <is>
          <t>BAIXO</t>
        </is>
      </c>
      <c r="J775" s="6" t="inlineStr">
        <is>
          <t>swine</t>
        </is>
      </c>
      <c r="K775" s="6" t="n">
        <v>9</v>
      </c>
    </row>
    <row r="776">
      <c r="A776" s="6" t="inlineStr">
        <is>
          <t>3157302</t>
        </is>
      </c>
      <c r="B776" s="6" t="inlineStr">
        <is>
          <t>3157302</t>
        </is>
      </c>
      <c r="C776" s="4" t="inlineStr">
        <is>
          <t>Barbacena</t>
        </is>
      </c>
      <c r="D776" s="16" t="n">
        <v>4208</v>
      </c>
      <c r="E776" s="8" t="n">
        <v>194.564</v>
      </c>
      <c r="F776" s="7" t="n">
        <v>-21.243626</v>
      </c>
      <c r="G776" s="7" t="n">
        <v>-43.52466861</v>
      </c>
      <c r="H776" s="8" t="n">
        <v>22.3518</v>
      </c>
      <c r="I776" s="6" t="inlineStr">
        <is>
          <t>BAIXO</t>
        </is>
      </c>
      <c r="J776" s="6" t="inlineStr">
        <is>
          <t>swine</t>
        </is>
      </c>
      <c r="K776" s="6" t="n">
        <v>9</v>
      </c>
    </row>
    <row r="777">
      <c r="A777" s="6" t="inlineStr">
        <is>
          <t>3169059</t>
        </is>
      </c>
      <c r="B777" s="6" t="inlineStr">
        <is>
          <t>3169059</t>
        </is>
      </c>
      <c r="C777" s="4" t="inlineStr">
        <is>
          <t>Pouso Alegre</t>
        </is>
      </c>
      <c r="D777" s="16" t="n">
        <v>3826</v>
      </c>
      <c r="E777" s="8" t="n">
        <v>114.705</v>
      </c>
      <c r="F777" s="7" t="n">
        <v>-22.3573681</v>
      </c>
      <c r="G777" s="7" t="n">
        <v>-46.15874064</v>
      </c>
      <c r="H777" s="8" t="n">
        <v>22.0776</v>
      </c>
      <c r="I777" s="6" t="inlineStr">
        <is>
          <t>BAIXO</t>
        </is>
      </c>
      <c r="J777" s="6" t="inlineStr">
        <is>
          <t>swine</t>
        </is>
      </c>
      <c r="K777" s="6" t="n">
        <v>9</v>
      </c>
    </row>
    <row r="778">
      <c r="A778" s="6" t="inlineStr">
        <is>
          <t>3119906</t>
        </is>
      </c>
      <c r="B778" s="6" t="inlineStr">
        <is>
          <t>3119906</t>
        </is>
      </c>
      <c r="C778" s="4" t="inlineStr">
        <is>
          <t>Pouso Alegre</t>
        </is>
      </c>
      <c r="D778" s="16" t="n">
        <v>4272</v>
      </c>
      <c r="E778" s="8" t="n">
        <v>123.651</v>
      </c>
      <c r="F778" s="7" t="n">
        <v>-22.6259205</v>
      </c>
      <c r="G778" s="7" t="n">
        <v>-45.99108035</v>
      </c>
      <c r="H778" s="8" t="n">
        <v>22.0276</v>
      </c>
      <c r="I778" s="6" t="inlineStr">
        <is>
          <t>BAIXO</t>
        </is>
      </c>
      <c r="J778" s="6" t="inlineStr">
        <is>
          <t>swine</t>
        </is>
      </c>
      <c r="K778" s="6" t="n">
        <v>9</v>
      </c>
    </row>
    <row r="779">
      <c r="A779" s="6" t="inlineStr">
        <is>
          <t>3127206</t>
        </is>
      </c>
      <c r="B779" s="6" t="inlineStr">
        <is>
          <t>3127206</t>
        </is>
      </c>
      <c r="C779" s="4" t="inlineStr">
        <is>
          <t>Belo Horizonte</t>
        </is>
      </c>
      <c r="D779" s="16" t="n">
        <v>4686</v>
      </c>
      <c r="E779" s="8" t="n">
        <v>199.797</v>
      </c>
      <c r="F779" s="7" t="n">
        <v>-19.3599265</v>
      </c>
      <c r="G779" s="7" t="n">
        <v>-44.06376275</v>
      </c>
      <c r="H779" s="8" t="n">
        <v>21.968</v>
      </c>
      <c r="I779" s="6" t="inlineStr">
        <is>
          <t>BAIXO</t>
        </is>
      </c>
      <c r="J779" s="6" t="inlineStr">
        <is>
          <t>swine</t>
        </is>
      </c>
      <c r="K779" s="6" t="n">
        <v>8</v>
      </c>
    </row>
    <row r="780">
      <c r="A780" s="6" t="inlineStr">
        <is>
          <t>3126406</t>
        </is>
      </c>
      <c r="B780" s="6" t="inlineStr">
        <is>
          <t>3126406</t>
        </is>
      </c>
      <c r="C780" s="4" t="inlineStr">
        <is>
          <t>Belo Horizonte</t>
        </is>
      </c>
      <c r="D780" s="16" t="n">
        <v>3093</v>
      </c>
      <c r="E780" s="8" t="n">
        <v>198.665</v>
      </c>
      <c r="F780" s="7" t="n">
        <v>-19.5347995</v>
      </c>
      <c r="G780" s="7" t="n">
        <v>-44.52758726</v>
      </c>
      <c r="H780" s="8" t="n">
        <v>21.8293</v>
      </c>
      <c r="I780" s="6" t="inlineStr">
        <is>
          <t>BAIXO</t>
        </is>
      </c>
      <c r="J780" s="6" t="inlineStr">
        <is>
          <t>swine</t>
        </is>
      </c>
      <c r="K780" s="6" t="n">
        <v>9</v>
      </c>
    </row>
    <row r="781">
      <c r="A781" s="6" t="inlineStr">
        <is>
          <t>3158805</t>
        </is>
      </c>
      <c r="B781" s="6" t="inlineStr">
        <is>
          <t>3158805</t>
        </is>
      </c>
      <c r="C781" s="4" t="inlineStr">
        <is>
          <t>Varginha</t>
        </is>
      </c>
      <c r="D781" s="16" t="n">
        <v>4214</v>
      </c>
      <c r="E781" s="8" t="n">
        <v>106.169</v>
      </c>
      <c r="F781" s="7" t="n">
        <v>-20.880059</v>
      </c>
      <c r="G781" s="7" t="n">
        <v>-45.04594482</v>
      </c>
      <c r="H781" s="8" t="n">
        <v>21.6275</v>
      </c>
      <c r="I781" s="6" t="inlineStr">
        <is>
          <t>BAIXO</t>
        </is>
      </c>
      <c r="J781" s="6" t="inlineStr">
        <is>
          <t>swine</t>
        </is>
      </c>
      <c r="K781" s="6" t="n">
        <v>11</v>
      </c>
    </row>
    <row r="782">
      <c r="A782" s="6" t="inlineStr">
        <is>
          <t>3156304</t>
        </is>
      </c>
      <c r="B782" s="6" t="inlineStr">
        <is>
          <t>3156304</t>
        </is>
      </c>
      <c r="C782" s="4" t="inlineStr">
        <is>
          <t>Juíz de Fora</t>
        </is>
      </c>
      <c r="D782" s="16" t="n">
        <v>8664</v>
      </c>
      <c r="E782" s="8" t="n">
        <v>72.673</v>
      </c>
      <c r="F782" s="7" t="n">
        <v>-21.213514</v>
      </c>
      <c r="G782" s="7" t="n">
        <v>-42.83611472</v>
      </c>
      <c r="H782" s="8" t="n">
        <v>21.4659</v>
      </c>
      <c r="I782" s="6" t="inlineStr">
        <is>
          <t>BAIXO</t>
        </is>
      </c>
      <c r="J782" s="6" t="inlineStr">
        <is>
          <t>swine</t>
        </is>
      </c>
      <c r="K782" s="6" t="n">
        <v>7</v>
      </c>
    </row>
    <row r="783">
      <c r="A783" s="6" t="inlineStr">
        <is>
          <t>3136553</t>
        </is>
      </c>
      <c r="B783" s="6" t="inlineStr">
        <is>
          <t>3136553</t>
        </is>
      </c>
      <c r="C783" s="4" t="inlineStr">
        <is>
          <t>Governador Valadares</t>
        </is>
      </c>
      <c r="D783" s="16" t="n">
        <v>4268</v>
      </c>
      <c r="E783" s="8" t="n">
        <v>180.822</v>
      </c>
      <c r="F783" s="7" t="n">
        <v>-18.258454</v>
      </c>
      <c r="G783" s="7" t="n">
        <v>-42.46222714</v>
      </c>
      <c r="H783" s="8" t="n">
        <v>21.4372</v>
      </c>
      <c r="I783" s="6" t="inlineStr">
        <is>
          <t>BAIXO</t>
        </is>
      </c>
      <c r="J783" s="6" t="inlineStr">
        <is>
          <t>swine</t>
        </is>
      </c>
      <c r="K783" s="6" t="n">
        <v>9</v>
      </c>
    </row>
    <row r="784">
      <c r="A784" s="6" t="inlineStr">
        <is>
          <t>3122801</t>
        </is>
      </c>
      <c r="B784" s="6" t="inlineStr">
        <is>
          <t>3122801</t>
        </is>
      </c>
      <c r="C784" s="4" t="inlineStr">
        <is>
          <t>Pouso Alegre</t>
        </is>
      </c>
      <c r="D784" s="16" t="n">
        <v>3095</v>
      </c>
      <c r="E784" s="8" t="n">
        <v>113.921</v>
      </c>
      <c r="F784" s="7" t="n">
        <v>-22.231605</v>
      </c>
      <c r="G784" s="7" t="n">
        <v>-45.14032343</v>
      </c>
      <c r="H784" s="8" t="n">
        <v>21.1881</v>
      </c>
      <c r="I784" s="6" t="inlineStr">
        <is>
          <t>BAIXO</t>
        </is>
      </c>
      <c r="J784" s="6" t="inlineStr">
        <is>
          <t>swine</t>
        </is>
      </c>
      <c r="K784" s="6" t="n">
        <v>9</v>
      </c>
    </row>
    <row r="785">
      <c r="A785" s="6" t="inlineStr">
        <is>
          <t>3126000</t>
        </is>
      </c>
      <c r="B785" s="6" t="inlineStr">
        <is>
          <t>3126000</t>
        </is>
      </c>
      <c r="C785" s="4" t="inlineStr">
        <is>
          <t>Belo Horizonte</t>
        </is>
      </c>
      <c r="D785" s="16" t="n">
        <v>8045</v>
      </c>
      <c r="E785" s="8" t="n">
        <v>194.965</v>
      </c>
      <c r="F785" s="7" t="n">
        <v>-19.8589845</v>
      </c>
      <c r="G785" s="7" t="n">
        <v>-44.44468751</v>
      </c>
      <c r="H785" s="8" t="n">
        <v>21.1266</v>
      </c>
      <c r="I785" s="6" t="inlineStr">
        <is>
          <t>BAIXO</t>
        </is>
      </c>
      <c r="J785" s="6" t="inlineStr">
        <is>
          <t>swine</t>
        </is>
      </c>
      <c r="K785" s="6" t="n">
        <v>8</v>
      </c>
    </row>
    <row r="786">
      <c r="A786" s="6" t="inlineStr">
        <is>
          <t>3127503</t>
        </is>
      </c>
      <c r="B786" s="6" t="inlineStr">
        <is>
          <t>3127503</t>
        </is>
      </c>
      <c r="C786" s="4" t="inlineStr">
        <is>
          <t>Governador Valadares</t>
        </is>
      </c>
      <c r="D786" s="16" t="n">
        <v>5230</v>
      </c>
      <c r="E786" s="8" t="n">
        <v>209.348</v>
      </c>
      <c r="F786" s="7" t="n">
        <v>-18.8696585</v>
      </c>
      <c r="G786" s="7" t="n">
        <v>-42.5032527</v>
      </c>
      <c r="H786" s="8" t="n">
        <v>20.961</v>
      </c>
      <c r="I786" s="6" t="inlineStr">
        <is>
          <t>BAIXO</t>
        </is>
      </c>
      <c r="J786" s="6" t="inlineStr">
        <is>
          <t>swine</t>
        </is>
      </c>
      <c r="K786" s="6" t="n">
        <v>8</v>
      </c>
    </row>
    <row r="787">
      <c r="A787" s="6" t="inlineStr">
        <is>
          <t>3165800</t>
        </is>
      </c>
      <c r="B787" s="6" t="inlineStr">
        <is>
          <t>3165800</t>
        </is>
      </c>
      <c r="C787" s="4" t="inlineStr">
        <is>
          <t>Pouso Alegre</t>
        </is>
      </c>
      <c r="D787" s="16" t="n">
        <v>2068</v>
      </c>
      <c r="E787" s="8" t="n">
        <v>93.892</v>
      </c>
      <c r="F787" s="7" t="n">
        <v>-22.156381</v>
      </c>
      <c r="G787" s="7" t="n">
        <v>-46.14467167</v>
      </c>
      <c r="H787" s="8" t="n">
        <v>20.8938</v>
      </c>
      <c r="I787" s="6" t="inlineStr">
        <is>
          <t>BAIXO</t>
        </is>
      </c>
      <c r="J787" s="6" t="inlineStr">
        <is>
          <t>swine</t>
        </is>
      </c>
      <c r="K787" s="6" t="n">
        <v>9</v>
      </c>
    </row>
    <row r="788">
      <c r="A788" s="6" t="inlineStr">
        <is>
          <t>3154705</t>
        </is>
      </c>
      <c r="B788" s="6" t="inlineStr">
        <is>
          <t>3154705</t>
        </is>
      </c>
      <c r="C788" s="4" t="inlineStr">
        <is>
          <t>Varginha</t>
        </is>
      </c>
      <c r="D788" s="16" t="n">
        <v>4080</v>
      </c>
      <c r="E788" s="8" t="n">
        <v>49.251</v>
      </c>
      <c r="F788" s="7" t="n">
        <v>-21.1498045</v>
      </c>
      <c r="G788" s="7" t="n">
        <v>-45.07898432</v>
      </c>
      <c r="H788" s="8" t="n">
        <v>20.817</v>
      </c>
      <c r="I788" s="6" t="inlineStr">
        <is>
          <t>BAIXO</t>
        </is>
      </c>
      <c r="J788" s="6" t="inlineStr">
        <is>
          <t>corn</t>
        </is>
      </c>
      <c r="K788" s="6" t="n">
        <v>10</v>
      </c>
    </row>
    <row r="789">
      <c r="A789" s="6" t="inlineStr">
        <is>
          <t>3131802</t>
        </is>
      </c>
      <c r="B789" s="6" t="inlineStr">
        <is>
          <t>3131802</t>
        </is>
      </c>
      <c r="C789" s="4" t="inlineStr">
        <is>
          <t>Governador Valadares</t>
        </is>
      </c>
      <c r="D789" s="16" t="n">
        <v>10362</v>
      </c>
      <c r="E789" s="8" t="n">
        <v>209.034</v>
      </c>
      <c r="F789" s="7" t="n">
        <v>-18.551506</v>
      </c>
      <c r="G789" s="7" t="n">
        <v>-41.24653331</v>
      </c>
      <c r="H789" s="8" t="n">
        <v>20.5207</v>
      </c>
      <c r="I789" s="6" t="inlineStr">
        <is>
          <t>BAIXO</t>
        </is>
      </c>
      <c r="J789" s="6" t="inlineStr">
        <is>
          <t>swine</t>
        </is>
      </c>
      <c r="K789" s="6" t="n">
        <v>9</v>
      </c>
    </row>
    <row r="790">
      <c r="A790" s="6" t="inlineStr">
        <is>
          <t>3112208</t>
        </is>
      </c>
      <c r="B790" s="6" t="inlineStr">
        <is>
          <t>3112208</t>
        </is>
      </c>
      <c r="C790" s="4" t="inlineStr">
        <is>
          <t>Barbacena</t>
        </is>
      </c>
      <c r="D790" s="16" t="n">
        <v>4362</v>
      </c>
      <c r="E790" s="8" t="n">
        <v>111.073</v>
      </c>
      <c r="F790" s="7" t="n">
        <v>-20.91549</v>
      </c>
      <c r="G790" s="7" t="n">
        <v>-43.60283902</v>
      </c>
      <c r="H790" s="8" t="n">
        <v>20.4129</v>
      </c>
      <c r="I790" s="6" t="inlineStr">
        <is>
          <t>BAIXO</t>
        </is>
      </c>
      <c r="J790" s="6" t="inlineStr">
        <is>
          <t>swine</t>
        </is>
      </c>
      <c r="K790" s="6" t="n">
        <v>9</v>
      </c>
    </row>
    <row r="791">
      <c r="A791" s="6" t="inlineStr">
        <is>
          <t>3113107</t>
        </is>
      </c>
      <c r="B791" s="6" t="inlineStr">
        <is>
          <t>3113107</t>
        </is>
      </c>
      <c r="C791" s="4" t="inlineStr">
        <is>
          <t>Barbacena</t>
        </is>
      </c>
      <c r="D791" s="16" t="n">
        <v>2933</v>
      </c>
      <c r="E791" s="8" t="n">
        <v>159.95</v>
      </c>
      <c r="F791" s="7" t="n">
        <v>-20.8934085</v>
      </c>
      <c r="G791" s="7" t="n">
        <v>-43.72563437</v>
      </c>
      <c r="H791" s="8" t="n">
        <v>20.3936</v>
      </c>
      <c r="I791" s="6" t="inlineStr">
        <is>
          <t>BAIXO</t>
        </is>
      </c>
      <c r="J791" s="6" t="inlineStr">
        <is>
          <t>swine</t>
        </is>
      </c>
      <c r="K791" s="6" t="n">
        <v>10</v>
      </c>
    </row>
    <row r="792">
      <c r="A792" s="6" t="inlineStr">
        <is>
          <t>3156205</t>
        </is>
      </c>
      <c r="B792" s="6" t="inlineStr">
        <is>
          <t>3156205</t>
        </is>
      </c>
      <c r="C792" s="4" t="inlineStr">
        <is>
          <t>Juíz de Fora</t>
        </is>
      </c>
      <c r="D792" s="16" t="n">
        <v>2291</v>
      </c>
      <c r="E792" s="8" t="n">
        <v>79.402</v>
      </c>
      <c r="F792" s="7" t="n">
        <v>-21.6404995</v>
      </c>
      <c r="G792" s="7" t="n">
        <v>-43.02386779</v>
      </c>
      <c r="H792" s="8" t="n">
        <v>20.0653</v>
      </c>
      <c r="I792" s="6" t="inlineStr">
        <is>
          <t>BAIXO</t>
        </is>
      </c>
      <c r="J792" s="6" t="inlineStr">
        <is>
          <t>swine</t>
        </is>
      </c>
      <c r="K792" s="6" t="n">
        <v>7</v>
      </c>
    </row>
    <row r="793">
      <c r="A793" s="6" t="inlineStr">
        <is>
          <t>3136652</t>
        </is>
      </c>
      <c r="B793" s="6" t="inlineStr">
        <is>
          <t>3136652</t>
        </is>
      </c>
      <c r="C793" s="4" t="inlineStr">
        <is>
          <t>Belo Horizonte</t>
        </is>
      </c>
      <c r="D793" s="16" t="n">
        <v>30716</v>
      </c>
      <c r="E793" s="8" t="n">
        <v>97.66</v>
      </c>
      <c r="F793" s="7" t="n">
        <v>-19.95574725</v>
      </c>
      <c r="G793" s="7" t="n">
        <v>-44.36292683</v>
      </c>
      <c r="H793" s="8" t="n">
        <v>20.0264</v>
      </c>
      <c r="I793" s="6" t="inlineStr">
        <is>
          <t>BAIXO</t>
        </is>
      </c>
      <c r="J793" s="6" t="inlineStr">
        <is>
          <t>rsu_organic</t>
        </is>
      </c>
      <c r="K793" s="6" t="n">
        <v>7</v>
      </c>
    </row>
    <row r="794">
      <c r="A794" s="6" t="inlineStr">
        <is>
          <t>3135001</t>
        </is>
      </c>
      <c r="B794" s="6" t="inlineStr">
        <is>
          <t>3135001</t>
        </is>
      </c>
      <c r="C794" s="4" t="inlineStr">
        <is>
          <t>Ipatinga</t>
        </is>
      </c>
      <c r="D794" s="16" t="n">
        <v>3092</v>
      </c>
      <c r="E794" s="8" t="n">
        <v>163.76</v>
      </c>
      <c r="F794" s="7" t="n">
        <v>-19.626828</v>
      </c>
      <c r="G794" s="7" t="n">
        <v>-42.71132371</v>
      </c>
      <c r="H794" s="8" t="n">
        <v>19.9806</v>
      </c>
      <c r="I794" s="6" t="inlineStr">
        <is>
          <t>BAIXO</t>
        </is>
      </c>
      <c r="J794" s="6" t="inlineStr">
        <is>
          <t>swine</t>
        </is>
      </c>
      <c r="K794" s="6" t="n">
        <v>8</v>
      </c>
    </row>
    <row r="795">
      <c r="A795" s="6" t="inlineStr">
        <is>
          <t>3103108</t>
        </is>
      </c>
      <c r="B795" s="6" t="inlineStr">
        <is>
          <t>3103108</t>
        </is>
      </c>
      <c r="C795" s="4" t="inlineStr">
        <is>
          <t>Juíz de Fora</t>
        </is>
      </c>
      <c r="D795" s="16" t="n">
        <v>1538</v>
      </c>
      <c r="E795" s="8" t="n">
        <v>83.80200000000001</v>
      </c>
      <c r="F795" s="7" t="n">
        <v>-21.02410345</v>
      </c>
      <c r="G795" s="7" t="n">
        <v>-42.15269939</v>
      </c>
      <c r="H795" s="8" t="n">
        <v>19.9148</v>
      </c>
      <c r="I795" s="6" t="inlineStr">
        <is>
          <t>BAIXO</t>
        </is>
      </c>
      <c r="J795" s="6" t="inlineStr">
        <is>
          <t>swine</t>
        </is>
      </c>
      <c r="K795" s="6" t="n">
        <v>8</v>
      </c>
    </row>
    <row r="796">
      <c r="A796" s="6" t="inlineStr">
        <is>
          <t>3153301</t>
        </is>
      </c>
      <c r="B796" s="6" t="inlineStr">
        <is>
          <t>3153301</t>
        </is>
      </c>
      <c r="C796" s="4" t="inlineStr">
        <is>
          <t>Teófilo Otoni</t>
        </is>
      </c>
      <c r="D796" s="16" t="n">
        <v>3071</v>
      </c>
      <c r="E796" s="8" t="n">
        <v>189.235</v>
      </c>
      <c r="F796" s="7" t="n">
        <v>-18.6256935</v>
      </c>
      <c r="G796" s="7" t="n">
        <v>-43.58153145</v>
      </c>
      <c r="H796" s="8" t="n">
        <v>19.9139</v>
      </c>
      <c r="I796" s="6" t="inlineStr">
        <is>
          <t>BAIXO</t>
        </is>
      </c>
      <c r="J796" s="6" t="inlineStr">
        <is>
          <t>swine</t>
        </is>
      </c>
      <c r="K796" s="6" t="n">
        <v>9</v>
      </c>
    </row>
    <row r="797">
      <c r="A797" s="6" t="inlineStr">
        <is>
          <t>3140209</t>
        </is>
      </c>
      <c r="B797" s="6" t="inlineStr">
        <is>
          <t>3140209</t>
        </is>
      </c>
      <c r="C797" s="4" t="inlineStr">
        <is>
          <t>Juíz de Fora</t>
        </is>
      </c>
      <c r="D797" s="16" t="n">
        <v>3387</v>
      </c>
      <c r="E797" s="8" t="n">
        <v>77.33799999999999</v>
      </c>
      <c r="F797" s="7" t="n">
        <v>-21.6963525</v>
      </c>
      <c r="G797" s="7" t="n">
        <v>-42.95976112</v>
      </c>
      <c r="H797" s="8" t="n">
        <v>19.9037</v>
      </c>
      <c r="I797" s="6" t="inlineStr">
        <is>
          <t>BAIXO</t>
        </is>
      </c>
      <c r="J797" s="6" t="inlineStr">
        <is>
          <t>swine</t>
        </is>
      </c>
      <c r="K797" s="6" t="n">
        <v>8</v>
      </c>
    </row>
    <row r="798">
      <c r="A798" s="6" t="inlineStr">
        <is>
          <t>3122900</t>
        </is>
      </c>
      <c r="B798" s="6" t="inlineStr">
        <is>
          <t>3122900</t>
        </is>
      </c>
      <c r="C798" s="4" t="inlineStr">
        <is>
          <t>Juíz de Fora</t>
        </is>
      </c>
      <c r="D798" s="16" t="n">
        <v>6093</v>
      </c>
      <c r="E798" s="8" t="n">
        <v>70.23099999999999</v>
      </c>
      <c r="F798" s="7" t="n">
        <v>-21.3262435</v>
      </c>
      <c r="G798" s="7" t="n">
        <v>-42.79516193</v>
      </c>
      <c r="H798" s="8" t="n">
        <v>19.8518</v>
      </c>
      <c r="I798" s="6" t="inlineStr">
        <is>
          <t>BAIXO</t>
        </is>
      </c>
      <c r="J798" s="6" t="inlineStr">
        <is>
          <t>swine</t>
        </is>
      </c>
      <c r="K798" s="6" t="n">
        <v>7</v>
      </c>
    </row>
    <row r="799">
      <c r="A799" s="6" t="inlineStr">
        <is>
          <t>3136603</t>
        </is>
      </c>
      <c r="B799" s="6" t="inlineStr">
        <is>
          <t>3136603</t>
        </is>
      </c>
      <c r="C799" s="4" t="inlineStr">
        <is>
          <t>Belo Horizonte</t>
        </is>
      </c>
      <c r="D799" s="16" t="n">
        <v>5909</v>
      </c>
      <c r="E799" s="8" t="n">
        <v>172.131</v>
      </c>
      <c r="F799" s="7" t="n">
        <v>-19.623843</v>
      </c>
      <c r="G799" s="7" t="n">
        <v>-43.5703698</v>
      </c>
      <c r="H799" s="8" t="n">
        <v>19.8502</v>
      </c>
      <c r="I799" s="6" t="inlineStr">
        <is>
          <t>BAIXO</t>
        </is>
      </c>
      <c r="J799" s="6" t="inlineStr">
        <is>
          <t>swine</t>
        </is>
      </c>
      <c r="K799" s="6" t="n">
        <v>10</v>
      </c>
    </row>
    <row r="800">
      <c r="A800" s="6" t="inlineStr">
        <is>
          <t>3101631</t>
        </is>
      </c>
      <c r="B800" s="6" t="inlineStr">
        <is>
          <t>3101631</t>
        </is>
      </c>
      <c r="C800" s="4" t="inlineStr">
        <is>
          <t>Barbacena</t>
        </is>
      </c>
      <c r="D800" s="16" t="n">
        <v>6931</v>
      </c>
      <c r="E800" s="8" t="n">
        <v>130.815</v>
      </c>
      <c r="F800" s="7" t="n">
        <v>-21.139688</v>
      </c>
      <c r="G800" s="7" t="n">
        <v>-43.73082231</v>
      </c>
      <c r="H800" s="8" t="n">
        <v>19.8162</v>
      </c>
      <c r="I800" s="6" t="inlineStr">
        <is>
          <t>BAIXO</t>
        </is>
      </c>
      <c r="J800" s="6" t="inlineStr">
        <is>
          <t>swine</t>
        </is>
      </c>
      <c r="K800" s="6" t="n">
        <v>9</v>
      </c>
    </row>
    <row r="801">
      <c r="A801" s="6" t="inlineStr">
        <is>
          <t>3165503</t>
        </is>
      </c>
      <c r="B801" s="6" t="inlineStr">
        <is>
          <t>3165503</t>
        </is>
      </c>
      <c r="C801" s="4" t="inlineStr">
        <is>
          <t>Governador Valadares</t>
        </is>
      </c>
      <c r="D801" s="16" t="n">
        <v>5104</v>
      </c>
      <c r="E801" s="8" t="n">
        <v>141.904</v>
      </c>
      <c r="F801" s="7" t="n">
        <v>-18.7806625</v>
      </c>
      <c r="G801" s="7" t="n">
        <v>-42.4181666</v>
      </c>
      <c r="H801" s="8" t="n">
        <v>19.6568</v>
      </c>
      <c r="I801" s="6" t="inlineStr">
        <is>
          <t>BAIXO</t>
        </is>
      </c>
      <c r="J801" s="6" t="inlineStr">
        <is>
          <t>swine</t>
        </is>
      </c>
      <c r="K801" s="6" t="n">
        <v>9</v>
      </c>
    </row>
    <row r="802">
      <c r="A802" s="6" t="inlineStr">
        <is>
          <t>3163607</t>
        </is>
      </c>
      <c r="B802" s="6" t="inlineStr">
        <is>
          <t>3163607</t>
        </is>
      </c>
      <c r="C802" s="4" t="inlineStr">
        <is>
          <t>Juíz de Fora</t>
        </is>
      </c>
      <c r="D802" s="16" t="n">
        <v>2753</v>
      </c>
      <c r="E802" s="8" t="n">
        <v>54.701</v>
      </c>
      <c r="F802" s="7" t="n">
        <v>-20.0251585</v>
      </c>
      <c r="G802" s="7" t="n">
        <v>-41.77442683</v>
      </c>
      <c r="H802" s="8" t="n">
        <v>19.5319</v>
      </c>
      <c r="I802" s="6" t="inlineStr">
        <is>
          <t>BAIXO</t>
        </is>
      </c>
      <c r="J802" s="6" t="inlineStr">
        <is>
          <t>swine</t>
        </is>
      </c>
      <c r="K802" s="6" t="n">
        <v>9</v>
      </c>
    </row>
    <row r="803">
      <c r="A803" s="6" t="inlineStr">
        <is>
          <t>3159357</t>
        </is>
      </c>
      <c r="B803" s="6" t="inlineStr">
        <is>
          <t>3159357</t>
        </is>
      </c>
      <c r="C803" s="4" t="inlineStr">
        <is>
          <t>Ipatinga</t>
        </is>
      </c>
      <c r="D803" s="16" t="n">
        <v>6773</v>
      </c>
      <c r="E803" s="8" t="n">
        <v>68.15300000000001</v>
      </c>
      <c r="F803" s="7" t="n">
        <v>-19.8748185</v>
      </c>
      <c r="G803" s="7" t="n">
        <v>-42.11674354</v>
      </c>
      <c r="H803" s="8" t="n">
        <v>19.4351</v>
      </c>
      <c r="I803" s="6" t="inlineStr">
        <is>
          <t>BAIXO</t>
        </is>
      </c>
      <c r="J803" s="6" t="inlineStr">
        <is>
          <t>coffee</t>
        </is>
      </c>
      <c r="K803" s="6" t="n">
        <v>9</v>
      </c>
    </row>
    <row r="804">
      <c r="A804" s="6" t="inlineStr">
        <is>
          <t>3163003</t>
        </is>
      </c>
      <c r="B804" s="6" t="inlineStr">
        <is>
          <t>3163003</t>
        </is>
      </c>
      <c r="C804" s="4" t="inlineStr">
        <is>
          <t>Governador Valadares</t>
        </is>
      </c>
      <c r="D804" s="16" t="n">
        <v>3806</v>
      </c>
      <c r="E804" s="8" t="n">
        <v>213.881</v>
      </c>
      <c r="F804" s="7" t="n">
        <v>-18.3259065</v>
      </c>
      <c r="G804" s="7" t="n">
        <v>-42.12984088</v>
      </c>
      <c r="H804" s="8" t="n">
        <v>19.2721</v>
      </c>
      <c r="I804" s="6" t="inlineStr">
        <is>
          <t>BAIXO</t>
        </is>
      </c>
      <c r="J804" s="6" t="inlineStr">
        <is>
          <t>swine</t>
        </is>
      </c>
      <c r="K804" s="6" t="n">
        <v>7</v>
      </c>
    </row>
    <row r="805">
      <c r="A805" s="6" t="inlineStr">
        <is>
          <t>3144201</t>
        </is>
      </c>
      <c r="B805" s="6" t="inlineStr">
        <is>
          <t>3144201</t>
        </is>
      </c>
      <c r="C805" s="4" t="inlineStr">
        <is>
          <t>Governador Valadares</t>
        </is>
      </c>
      <c r="D805" s="16" t="n">
        <v>2459</v>
      </c>
      <c r="E805" s="8" t="n">
        <v>233.493</v>
      </c>
      <c r="F805" s="7" t="n">
        <v>-18.4858445</v>
      </c>
      <c r="G805" s="7" t="n">
        <v>-42.19439411</v>
      </c>
      <c r="H805" s="8" t="n">
        <v>19.2594</v>
      </c>
      <c r="I805" s="6" t="inlineStr">
        <is>
          <t>BAIXO</t>
        </is>
      </c>
      <c r="J805" s="6" t="inlineStr">
        <is>
          <t>swine</t>
        </is>
      </c>
      <c r="K805" s="6" t="n">
        <v>8</v>
      </c>
    </row>
    <row r="806">
      <c r="A806" s="6" t="inlineStr">
        <is>
          <t>3123700</t>
        </is>
      </c>
      <c r="B806" s="6" t="inlineStr">
        <is>
          <t>3123700</t>
        </is>
      </c>
      <c r="C806" s="4" t="inlineStr">
        <is>
          <t>Governador Valadares</t>
        </is>
      </c>
      <c r="D806" s="16" t="n">
        <v>13622</v>
      </c>
      <c r="E806" s="8" t="n">
        <v>187.058</v>
      </c>
      <c r="F806" s="7" t="n">
        <v>-19.1197215</v>
      </c>
      <c r="G806" s="7" t="n">
        <v>-42.00006318</v>
      </c>
      <c r="H806" s="8" t="n">
        <v>19.182</v>
      </c>
      <c r="I806" s="6" t="inlineStr">
        <is>
          <t>BAIXO</t>
        </is>
      </c>
      <c r="J806" s="6" t="inlineStr">
        <is>
          <t>swine</t>
        </is>
      </c>
      <c r="K806" s="6" t="n">
        <v>7</v>
      </c>
    </row>
    <row r="807">
      <c r="A807" s="6" t="inlineStr">
        <is>
          <t>3165537</t>
        </is>
      </c>
      <c r="B807" s="6" t="inlineStr">
        <is>
          <t>3165537</t>
        </is>
      </c>
      <c r="C807" s="4" t="inlineStr">
        <is>
          <t>Belo Horizonte</t>
        </is>
      </c>
      <c r="D807" s="16" t="n">
        <v>36844</v>
      </c>
      <c r="E807" s="8" t="n">
        <v>62.134</v>
      </c>
      <c r="F807" s="7" t="n">
        <v>-20.058218</v>
      </c>
      <c r="G807" s="7" t="n">
        <v>-44.1170615</v>
      </c>
      <c r="H807" s="8" t="n">
        <v>19.1609</v>
      </c>
      <c r="I807" s="6" t="inlineStr">
        <is>
          <t>BAIXO</t>
        </is>
      </c>
      <c r="J807" s="6" t="inlineStr">
        <is>
          <t>rsu_organic</t>
        </is>
      </c>
      <c r="K807" s="6" t="n">
        <v>6</v>
      </c>
    </row>
    <row r="808">
      <c r="A808" s="6" t="inlineStr">
        <is>
          <t>3166501</t>
        </is>
      </c>
      <c r="B808" s="6" t="inlineStr">
        <is>
          <t>3166501</t>
        </is>
      </c>
      <c r="C808" s="4" t="inlineStr">
        <is>
          <t>Teófilo Otoni</t>
        </is>
      </c>
      <c r="D808" s="16" t="n">
        <v>3792</v>
      </c>
      <c r="E808" s="8" t="n">
        <v>218.595</v>
      </c>
      <c r="F808" s="7" t="n">
        <v>-18.390505</v>
      </c>
      <c r="G808" s="7" t="n">
        <v>-43.20097588</v>
      </c>
      <c r="H808" s="8" t="n">
        <v>18.8708</v>
      </c>
      <c r="I808" s="6" t="inlineStr">
        <is>
          <t>BAIXO</t>
        </is>
      </c>
      <c r="J808" s="6" t="inlineStr">
        <is>
          <t>swine</t>
        </is>
      </c>
      <c r="K808" s="6" t="n">
        <v>7</v>
      </c>
    </row>
    <row r="809">
      <c r="A809" s="6" t="inlineStr">
        <is>
          <t>3121506</t>
        </is>
      </c>
      <c r="B809" s="6" t="inlineStr">
        <is>
          <t>3121506</t>
        </is>
      </c>
      <c r="C809" s="4" t="inlineStr">
        <is>
          <t>Barbacena</t>
        </is>
      </c>
      <c r="D809" s="16" t="n">
        <v>2994</v>
      </c>
      <c r="E809" s="8" t="n">
        <v>142.279</v>
      </c>
      <c r="F809" s="7" t="n">
        <v>-21.134348</v>
      </c>
      <c r="G809" s="7" t="n">
        <v>-43.53665776</v>
      </c>
      <c r="H809" s="8" t="n">
        <v>18.8308</v>
      </c>
      <c r="I809" s="6" t="inlineStr">
        <is>
          <t>BAIXO</t>
        </is>
      </c>
      <c r="J809" s="6" t="inlineStr">
        <is>
          <t>swine</t>
        </is>
      </c>
      <c r="K809" s="6" t="n">
        <v>9</v>
      </c>
    </row>
    <row r="810">
      <c r="A810" s="6" t="inlineStr">
        <is>
          <t>3162922</t>
        </is>
      </c>
      <c r="B810" s="6" t="inlineStr">
        <is>
          <t>3162922</t>
        </is>
      </c>
      <c r="C810" s="4" t="inlineStr">
        <is>
          <t>Belo Horizonte</t>
        </is>
      </c>
      <c r="D810" s="16" t="n">
        <v>34348</v>
      </c>
      <c r="E810" s="8" t="n">
        <v>71.995</v>
      </c>
      <c r="F810" s="7" t="n">
        <v>-20.0626535</v>
      </c>
      <c r="G810" s="7" t="n">
        <v>-44.24895864</v>
      </c>
      <c r="H810" s="8" t="n">
        <v>18.6026</v>
      </c>
      <c r="I810" s="6" t="inlineStr">
        <is>
          <t>BAIXO</t>
        </is>
      </c>
      <c r="J810" s="6" t="inlineStr">
        <is>
          <t>rsu_organic</t>
        </is>
      </c>
      <c r="K810" s="6" t="n">
        <v>6</v>
      </c>
    </row>
    <row r="811">
      <c r="A811" s="6" t="inlineStr">
        <is>
          <t>3153806</t>
        </is>
      </c>
      <c r="B811" s="6" t="inlineStr">
        <is>
          <t>3153806</t>
        </is>
      </c>
      <c r="C811" s="4" t="inlineStr">
        <is>
          <t>Barbacena</t>
        </is>
      </c>
      <c r="D811" s="16" t="n">
        <v>1770</v>
      </c>
      <c r="E811" s="8" t="n">
        <v>153.56</v>
      </c>
      <c r="F811" s="7" t="n">
        <v>-20.7312295</v>
      </c>
      <c r="G811" s="7" t="n">
        <v>-43.89982373</v>
      </c>
      <c r="H811" s="8" t="n">
        <v>18.4657</v>
      </c>
      <c r="I811" s="6" t="inlineStr">
        <is>
          <t>BAIXO</t>
        </is>
      </c>
      <c r="J811" s="6" t="inlineStr">
        <is>
          <t>swine</t>
        </is>
      </c>
      <c r="K811" s="6" t="n">
        <v>8</v>
      </c>
    </row>
    <row r="812">
      <c r="A812" s="6" t="inlineStr">
        <is>
          <t>3115706</t>
        </is>
      </c>
      <c r="B812" s="6" t="inlineStr">
        <is>
          <t>3115706</t>
        </is>
      </c>
      <c r="C812" s="4" t="inlineStr">
        <is>
          <t>Governador Valadares</t>
        </is>
      </c>
      <c r="D812" s="16" t="n">
        <v>6171</v>
      </c>
      <c r="E812" s="8" t="n">
        <v>204.328</v>
      </c>
      <c r="F812" s="7" t="n">
        <v>-18.7755145</v>
      </c>
      <c r="G812" s="7" t="n">
        <v>-41.28923877</v>
      </c>
      <c r="H812" s="8" t="n">
        <v>18.302</v>
      </c>
      <c r="I812" s="6" t="inlineStr">
        <is>
          <t>BAIXO</t>
        </is>
      </c>
      <c r="J812" s="6" t="inlineStr">
        <is>
          <t>swine</t>
        </is>
      </c>
      <c r="K812" s="6" t="n">
        <v>9</v>
      </c>
    </row>
    <row r="813">
      <c r="A813" s="6" t="inlineStr">
        <is>
          <t>3163201</t>
        </is>
      </c>
      <c r="B813" s="6" t="inlineStr">
        <is>
          <t>3163201</t>
        </is>
      </c>
      <c r="C813" s="4" t="inlineStr">
        <is>
          <t>Pouso Alegre</t>
        </is>
      </c>
      <c r="D813" s="16" t="n">
        <v>4133</v>
      </c>
      <c r="E813" s="8" t="n">
        <v>88.794</v>
      </c>
      <c r="F813" s="7" t="n">
        <v>-22.320724</v>
      </c>
      <c r="G813" s="7" t="n">
        <v>-45.5224111</v>
      </c>
      <c r="H813" s="8" t="n">
        <v>18.2405</v>
      </c>
      <c r="I813" s="6" t="inlineStr">
        <is>
          <t>BAIXO</t>
        </is>
      </c>
      <c r="J813" s="6" t="inlineStr">
        <is>
          <t>swine</t>
        </is>
      </c>
      <c r="K813" s="6" t="n">
        <v>12</v>
      </c>
    </row>
    <row r="814">
      <c r="A814" s="6" t="inlineStr">
        <is>
          <t>3172202</t>
        </is>
      </c>
      <c r="B814" s="6" t="inlineStr">
        <is>
          <t>3172202</t>
        </is>
      </c>
      <c r="C814" s="4" t="inlineStr">
        <is>
          <t>Pouso Alegre</t>
        </is>
      </c>
      <c r="D814" s="16" t="n">
        <v>2356</v>
      </c>
      <c r="E814" s="8" t="n">
        <v>102.487</v>
      </c>
      <c r="F814" s="7" t="n">
        <v>-22.544163</v>
      </c>
      <c r="G814" s="7" t="n">
        <v>-45.39296728</v>
      </c>
      <c r="H814" s="8" t="n">
        <v>18.1636</v>
      </c>
      <c r="I814" s="6" t="inlineStr">
        <is>
          <t>BAIXO</t>
        </is>
      </c>
      <c r="J814" s="6" t="inlineStr">
        <is>
          <t>swine</t>
        </is>
      </c>
      <c r="K814" s="6" t="n">
        <v>9</v>
      </c>
    </row>
    <row r="815">
      <c r="A815" s="6" t="inlineStr">
        <is>
          <t>3105905</t>
        </is>
      </c>
      <c r="B815" s="6" t="inlineStr">
        <is>
          <t>3105905</t>
        </is>
      </c>
      <c r="C815" s="4" t="inlineStr">
        <is>
          <t>Barbacena</t>
        </is>
      </c>
      <c r="D815" s="16" t="n">
        <v>20080</v>
      </c>
      <c r="E815" s="8" t="n">
        <v>82.06999999999999</v>
      </c>
      <c r="F815" s="7" t="n">
        <v>-21.176058</v>
      </c>
      <c r="G815" s="7" t="n">
        <v>-43.960903</v>
      </c>
      <c r="H815" s="8" t="n">
        <v>18.0916</v>
      </c>
      <c r="I815" s="6" t="inlineStr">
        <is>
          <t>BAIXO</t>
        </is>
      </c>
      <c r="J815" s="6" t="inlineStr">
        <is>
          <t>rsu_organic</t>
        </is>
      </c>
      <c r="K815" s="6" t="n">
        <v>8</v>
      </c>
    </row>
    <row r="816">
      <c r="A816" s="6" t="inlineStr">
        <is>
          <t>3167707</t>
        </is>
      </c>
      <c r="B816" s="6" t="inlineStr">
        <is>
          <t>3167707</t>
        </is>
      </c>
      <c r="C816" s="4" t="inlineStr">
        <is>
          <t>Governador Valadares</t>
        </is>
      </c>
      <c r="D816" s="16" t="n">
        <v>5137</v>
      </c>
      <c r="E816" s="8" t="n">
        <v>206.787</v>
      </c>
      <c r="F816" s="7" t="n">
        <v>-19.2245735</v>
      </c>
      <c r="G816" s="7" t="n">
        <v>-42.13462753</v>
      </c>
      <c r="H816" s="8" t="n">
        <v>17.7155</v>
      </c>
      <c r="I816" s="6" t="inlineStr">
        <is>
          <t>BAIXO</t>
        </is>
      </c>
      <c r="J816" s="6" t="inlineStr">
        <is>
          <t>swine</t>
        </is>
      </c>
      <c r="K816" s="6" t="n">
        <v>6</v>
      </c>
    </row>
    <row r="817">
      <c r="A817" s="6" t="inlineStr">
        <is>
          <t>3164902</t>
        </is>
      </c>
      <c r="B817" s="6" t="inlineStr">
        <is>
          <t>3164902</t>
        </is>
      </c>
      <c r="C817" s="4" t="inlineStr">
        <is>
          <t>Pouso Alegre</t>
        </is>
      </c>
      <c r="D817" s="16" t="n">
        <v>2300</v>
      </c>
      <c r="E817" s="8" t="n">
        <v>90.848</v>
      </c>
      <c r="F817" s="7" t="n">
        <v>-22.2113384</v>
      </c>
      <c r="G817" s="7" t="n">
        <v>-45.02510747</v>
      </c>
      <c r="H817" s="8" t="n">
        <v>17.5354</v>
      </c>
      <c r="I817" s="6" t="inlineStr">
        <is>
          <t>BAIXO</t>
        </is>
      </c>
      <c r="J817" s="6" t="inlineStr">
        <is>
          <t>swine</t>
        </is>
      </c>
      <c r="K817" s="6" t="n">
        <v>8</v>
      </c>
    </row>
    <row r="818">
      <c r="A818" s="6" t="inlineStr">
        <is>
          <t>3160959</t>
        </is>
      </c>
      <c r="B818" s="6" t="inlineStr">
        <is>
          <t>3160959</t>
        </is>
      </c>
      <c r="C818" s="4" t="inlineStr">
        <is>
          <t>Ipatinga</t>
        </is>
      </c>
      <c r="D818" s="16" t="n">
        <v>5626</v>
      </c>
      <c r="E818" s="8" t="n">
        <v>60.865</v>
      </c>
      <c r="F818" s="7" t="n">
        <v>-19.5144115</v>
      </c>
      <c r="G818" s="7" t="n">
        <v>-42.03492464</v>
      </c>
      <c r="H818" s="8" t="n">
        <v>17.5347</v>
      </c>
      <c r="I818" s="6" t="inlineStr">
        <is>
          <t>BAIXO</t>
        </is>
      </c>
      <c r="J818" s="6" t="inlineStr">
        <is>
          <t>coffee</t>
        </is>
      </c>
      <c r="K818" s="6" t="n">
        <v>9</v>
      </c>
    </row>
    <row r="819">
      <c r="A819" s="6" t="inlineStr">
        <is>
          <t>3157500</t>
        </is>
      </c>
      <c r="B819" s="6" t="inlineStr">
        <is>
          <t>3157500</t>
        </is>
      </c>
      <c r="C819" s="4" t="inlineStr">
        <is>
          <t>Governador Valadares</t>
        </is>
      </c>
      <c r="D819" s="16" t="n">
        <v>4039</v>
      </c>
      <c r="E819" s="8" t="n">
        <v>131.965</v>
      </c>
      <c r="F819" s="7" t="n">
        <v>-18.8635045</v>
      </c>
      <c r="G819" s="7" t="n">
        <v>-42.39979439</v>
      </c>
      <c r="H819" s="8" t="n">
        <v>17.4179</v>
      </c>
      <c r="I819" s="6" t="inlineStr">
        <is>
          <t>BAIXO</t>
        </is>
      </c>
      <c r="J819" s="6" t="inlineStr">
        <is>
          <t>swine</t>
        </is>
      </c>
      <c r="K819" s="6" t="n">
        <v>7</v>
      </c>
    </row>
    <row r="820">
      <c r="A820" s="6" t="inlineStr">
        <is>
          <t>3101805</t>
        </is>
      </c>
      <c r="B820" s="6" t="inlineStr">
        <is>
          <t>3101805</t>
        </is>
      </c>
      <c r="C820" s="4" t="inlineStr">
        <is>
          <t>Governador Valadares</t>
        </is>
      </c>
      <c r="D820" s="16" t="n">
        <v>6903</v>
      </c>
      <c r="E820" s="8" t="n">
        <v>166.972</v>
      </c>
      <c r="F820" s="7" t="n">
        <v>-18.997364</v>
      </c>
      <c r="G820" s="7" t="n">
        <v>-42.03919643</v>
      </c>
      <c r="H820" s="8" t="n">
        <v>17.2766</v>
      </c>
      <c r="I820" s="6" t="inlineStr">
        <is>
          <t>BAIXO</t>
        </is>
      </c>
      <c r="J820" s="6" t="inlineStr">
        <is>
          <t>swine</t>
        </is>
      </c>
      <c r="K820" s="6" t="n">
        <v>7</v>
      </c>
    </row>
    <row r="821">
      <c r="A821" s="6" t="inlineStr">
        <is>
          <t>3129905</t>
        </is>
      </c>
      <c r="B821" s="6" t="inlineStr">
        <is>
          <t>3129905</t>
        </is>
      </c>
      <c r="C821" s="4" t="inlineStr">
        <is>
          <t>Pouso Alegre</t>
        </is>
      </c>
      <c r="D821" s="16" t="n">
        <v>3365</v>
      </c>
      <c r="E821" s="8" t="n">
        <v>68.316</v>
      </c>
      <c r="F821" s="7" t="n">
        <v>-22.0661345</v>
      </c>
      <c r="G821" s="7" t="n">
        <v>-46.40212322</v>
      </c>
      <c r="H821" s="8" t="n">
        <v>17.0636</v>
      </c>
      <c r="I821" s="6" t="inlineStr">
        <is>
          <t>BAIXO</t>
        </is>
      </c>
      <c r="J821" s="6" t="inlineStr">
        <is>
          <t>swine</t>
        </is>
      </c>
      <c r="K821" s="6" t="n">
        <v>9</v>
      </c>
    </row>
    <row r="822">
      <c r="A822" s="6" t="inlineStr">
        <is>
          <t>3146206</t>
        </is>
      </c>
      <c r="B822" s="6" t="inlineStr">
        <is>
          <t>3146206</t>
        </is>
      </c>
      <c r="C822" s="4" t="inlineStr">
        <is>
          <t>Teófilo Otoni</t>
        </is>
      </c>
      <c r="D822" s="16" t="n">
        <v>5757</v>
      </c>
      <c r="E822" s="8" t="n">
        <v>175.482</v>
      </c>
      <c r="F822" s="7" t="n">
        <v>-18.0321425</v>
      </c>
      <c r="G822" s="7" t="n">
        <v>-41.29740695</v>
      </c>
      <c r="H822" s="8" t="n">
        <v>17.0526</v>
      </c>
      <c r="I822" s="6" t="inlineStr">
        <is>
          <t>BAIXO</t>
        </is>
      </c>
      <c r="J822" s="6" t="inlineStr">
        <is>
          <t>swine</t>
        </is>
      </c>
      <c r="K822" s="6" t="n">
        <v>10</v>
      </c>
    </row>
    <row r="823">
      <c r="A823" s="6" t="inlineStr">
        <is>
          <t>3146602</t>
        </is>
      </c>
      <c r="B823" s="6" t="inlineStr">
        <is>
          <t>3146602</t>
        </is>
      </c>
      <c r="C823" s="4" t="inlineStr">
        <is>
          <t>Juíz de Fora</t>
        </is>
      </c>
      <c r="D823" s="16" t="n">
        <v>1474</v>
      </c>
      <c r="E823" s="8" t="n">
        <v>58.419</v>
      </c>
      <c r="F823" s="7" t="n">
        <v>-21.29217</v>
      </c>
      <c r="G823" s="7" t="n">
        <v>-43.428719</v>
      </c>
      <c r="H823" s="8" t="n">
        <v>16.9244</v>
      </c>
      <c r="I823" s="6" t="inlineStr">
        <is>
          <t>BAIXO</t>
        </is>
      </c>
      <c r="J823" s="6" t="inlineStr">
        <is>
          <t>swine</t>
        </is>
      </c>
      <c r="K823" s="6" t="n">
        <v>9</v>
      </c>
    </row>
    <row r="824">
      <c r="A824" s="6" t="inlineStr">
        <is>
          <t>3109253</t>
        </is>
      </c>
      <c r="B824" s="6" t="inlineStr">
        <is>
          <t>3109253</t>
        </is>
      </c>
      <c r="C824" s="4" t="inlineStr">
        <is>
          <t>Ipatinga</t>
        </is>
      </c>
      <c r="D824" s="16" t="n">
        <v>4041</v>
      </c>
      <c r="E824" s="8" t="n">
        <v>161.491</v>
      </c>
      <c r="F824" s="7" t="n">
        <v>-19.357325</v>
      </c>
      <c r="G824" s="7" t="n">
        <v>-42.32009969</v>
      </c>
      <c r="H824" s="8" t="n">
        <v>16.8642</v>
      </c>
      <c r="I824" s="6" t="inlineStr">
        <is>
          <t>BAIXO</t>
        </is>
      </c>
      <c r="J824" s="6" t="inlineStr">
        <is>
          <t>swine</t>
        </is>
      </c>
      <c r="K824" s="6" t="n">
        <v>7</v>
      </c>
    </row>
    <row r="825">
      <c r="A825" s="6" t="inlineStr">
        <is>
          <t>3153608</t>
        </is>
      </c>
      <c r="B825" s="6" t="inlineStr">
        <is>
          <t>3153608</t>
        </is>
      </c>
      <c r="C825" s="4" t="inlineStr">
        <is>
          <t>Belo Horizonte</t>
        </is>
      </c>
      <c r="D825" s="16" t="n">
        <v>11466</v>
      </c>
      <c r="E825" s="8" t="n">
        <v>124.189</v>
      </c>
      <c r="F825" s="7" t="n">
        <v>-19.4695455</v>
      </c>
      <c r="G825" s="7" t="n">
        <v>-44.12535807</v>
      </c>
      <c r="H825" s="8" t="n">
        <v>16.5203</v>
      </c>
      <c r="I825" s="6" t="inlineStr">
        <is>
          <t>BAIXO</t>
        </is>
      </c>
      <c r="J825" s="6" t="inlineStr">
        <is>
          <t>swine</t>
        </is>
      </c>
      <c r="K825" s="6" t="n">
        <v>8</v>
      </c>
    </row>
    <row r="826">
      <c r="A826" s="6" t="inlineStr">
        <is>
          <t>3101409</t>
        </is>
      </c>
      <c r="B826" s="6" t="inlineStr">
        <is>
          <t>3101409</t>
        </is>
      </c>
      <c r="C826" s="4" t="inlineStr">
        <is>
          <t>Pouso Alegre</t>
        </is>
      </c>
      <c r="D826" s="16" t="n">
        <v>2952</v>
      </c>
      <c r="E826" s="8" t="n">
        <v>58.01</v>
      </c>
      <c r="F826" s="7" t="n">
        <v>-22.19912</v>
      </c>
      <c r="G826" s="7" t="n">
        <v>-46.61722227</v>
      </c>
      <c r="H826" s="8" t="n">
        <v>16.3484</v>
      </c>
      <c r="I826" s="6" t="inlineStr">
        <is>
          <t>BAIXO</t>
        </is>
      </c>
      <c r="J826" s="6" t="inlineStr">
        <is>
          <t>coffee</t>
        </is>
      </c>
      <c r="K826" s="6" t="n">
        <v>9</v>
      </c>
    </row>
    <row r="827">
      <c r="A827" s="6" t="inlineStr">
        <is>
          <t>3118502</t>
        </is>
      </c>
      <c r="B827" s="6" t="inlineStr">
        <is>
          <t>3118502</t>
        </is>
      </c>
      <c r="C827" s="4" t="inlineStr">
        <is>
          <t>Pouso Alegre</t>
        </is>
      </c>
      <c r="D827" s="16" t="n">
        <v>1563</v>
      </c>
      <c r="E827" s="8" t="n">
        <v>89.122</v>
      </c>
      <c r="F827" s="7" t="n">
        <v>-22.532796</v>
      </c>
      <c r="G827" s="7" t="n">
        <v>-45.91788726</v>
      </c>
      <c r="H827" s="8" t="n">
        <v>16.2622</v>
      </c>
      <c r="I827" s="6" t="inlineStr">
        <is>
          <t>BAIXO</t>
        </is>
      </c>
      <c r="J827" s="6" t="inlineStr">
        <is>
          <t>swine</t>
        </is>
      </c>
      <c r="K827" s="6" t="n">
        <v>8</v>
      </c>
    </row>
    <row r="828">
      <c r="A828" s="6" t="inlineStr">
        <is>
          <t>3140100</t>
        </is>
      </c>
      <c r="B828" s="6" t="inlineStr">
        <is>
          <t>3140100</t>
        </is>
      </c>
      <c r="C828" s="4" t="inlineStr">
        <is>
          <t>Governador Valadares</t>
        </is>
      </c>
      <c r="D828" s="16" t="n">
        <v>4224</v>
      </c>
      <c r="E828" s="8" t="n">
        <v>158.809</v>
      </c>
      <c r="F828" s="7" t="n">
        <v>-18.499993</v>
      </c>
      <c r="G828" s="7" t="n">
        <v>-42.08420292</v>
      </c>
      <c r="H828" s="8" t="n">
        <v>16.1177</v>
      </c>
      <c r="I828" s="6" t="inlineStr">
        <is>
          <t>BAIXO</t>
        </is>
      </c>
      <c r="J828" s="6" t="inlineStr">
        <is>
          <t>swine</t>
        </is>
      </c>
      <c r="K828" s="6" t="n">
        <v>6</v>
      </c>
    </row>
    <row r="829">
      <c r="A829" s="6" t="inlineStr">
        <is>
          <t>3142304</t>
        </is>
      </c>
      <c r="B829" s="6" t="inlineStr">
        <is>
          <t>3142304</t>
        </is>
      </c>
      <c r="C829" s="4" t="inlineStr">
        <is>
          <t>Belo Horizonte</t>
        </is>
      </c>
      <c r="D829" s="16" t="n">
        <v>5125</v>
      </c>
      <c r="E829" s="8" t="n">
        <v>154.129</v>
      </c>
      <c r="F829" s="7" t="n">
        <v>-20.33041795</v>
      </c>
      <c r="G829" s="7" t="n">
        <v>-44.00147849</v>
      </c>
      <c r="H829" s="8" t="n">
        <v>15.8163</v>
      </c>
      <c r="I829" s="6" t="inlineStr">
        <is>
          <t>BAIXO</t>
        </is>
      </c>
      <c r="J829" s="6" t="inlineStr">
        <is>
          <t>swine</t>
        </is>
      </c>
      <c r="K829" s="6" t="n">
        <v>8</v>
      </c>
    </row>
    <row r="830">
      <c r="A830" s="6" t="inlineStr">
        <is>
          <t>3168804</t>
        </is>
      </c>
      <c r="B830" s="6" t="inlineStr">
        <is>
          <t>3168804</t>
        </is>
      </c>
      <c r="C830" s="4" t="inlineStr">
        <is>
          <t>Barbacena</t>
        </is>
      </c>
      <c r="D830" s="16" t="n">
        <v>7744</v>
      </c>
      <c r="E830" s="8" t="n">
        <v>83.047</v>
      </c>
      <c r="F830" s="7" t="n">
        <v>-21.1155405</v>
      </c>
      <c r="G830" s="7" t="n">
        <v>-44.1601654</v>
      </c>
      <c r="H830" s="8" t="n">
        <v>15.7894</v>
      </c>
      <c r="I830" s="6" t="inlineStr">
        <is>
          <t>BAIXO</t>
        </is>
      </c>
      <c r="J830" s="6" t="inlineStr">
        <is>
          <t>swine</t>
        </is>
      </c>
      <c r="K830" s="6" t="n">
        <v>8</v>
      </c>
    </row>
    <row r="831">
      <c r="A831" s="6" t="inlineStr">
        <is>
          <t>3122355</t>
        </is>
      </c>
      <c r="B831" s="6" t="inlineStr">
        <is>
          <t>3122355</t>
        </is>
      </c>
      <c r="C831" s="4" t="inlineStr">
        <is>
          <t>Teófilo Otoni</t>
        </is>
      </c>
      <c r="D831" s="16" t="n">
        <v>6321</v>
      </c>
      <c r="E831" s="8" t="n">
        <v>117.802</v>
      </c>
      <c r="F831" s="7" t="n">
        <v>-15.712363</v>
      </c>
      <c r="G831" s="7" t="n">
        <v>-41.38064797</v>
      </c>
      <c r="H831" s="8" t="n">
        <v>15.7606</v>
      </c>
      <c r="I831" s="6" t="inlineStr">
        <is>
          <t>BAIXO</t>
        </is>
      </c>
      <c r="J831" s="6" t="inlineStr">
        <is>
          <t>swine</t>
        </is>
      </c>
      <c r="K831" s="6" t="n">
        <v>8</v>
      </c>
    </row>
    <row r="832">
      <c r="A832" s="6" t="inlineStr">
        <is>
          <t>3161056</t>
        </is>
      </c>
      <c r="B832" s="6" t="inlineStr">
        <is>
          <t>3161056</t>
        </is>
      </c>
      <c r="C832" s="4" t="inlineStr">
        <is>
          <t>Governador Valadares</t>
        </is>
      </c>
      <c r="D832" s="16" t="n">
        <v>3200</v>
      </c>
      <c r="E832" s="8" t="n">
        <v>162.56</v>
      </c>
      <c r="F832" s="7" t="n">
        <v>-18.5683815</v>
      </c>
      <c r="G832" s="7" t="n">
        <v>-41.45191016</v>
      </c>
      <c r="H832" s="8" t="n">
        <v>15.259</v>
      </c>
      <c r="I832" s="6" t="inlineStr">
        <is>
          <t>BAIXO</t>
        </is>
      </c>
      <c r="J832" s="6" t="inlineStr">
        <is>
          <t>swine</t>
        </is>
      </c>
      <c r="K832" s="6" t="n">
        <v>9</v>
      </c>
    </row>
    <row r="833">
      <c r="A833" s="6" t="inlineStr">
        <is>
          <t>3171501</t>
        </is>
      </c>
      <c r="B833" s="6" t="inlineStr">
        <is>
          <t>3171501</t>
        </is>
      </c>
      <c r="C833" s="4" t="inlineStr">
        <is>
          <t>Governador Valadares</t>
        </is>
      </c>
      <c r="D833" s="16" t="n">
        <v>3038</v>
      </c>
      <c r="E833" s="8" t="n">
        <v>172.297</v>
      </c>
      <c r="F833" s="7" t="n">
        <v>-18.6034065</v>
      </c>
      <c r="G833" s="7" t="n">
        <v>-41.920964</v>
      </c>
      <c r="H833" s="8" t="n">
        <v>14.7766</v>
      </c>
      <c r="I833" s="6" t="inlineStr">
        <is>
          <t>BAIXO</t>
        </is>
      </c>
      <c r="J833" s="6" t="inlineStr">
        <is>
          <t>swine</t>
        </is>
      </c>
      <c r="K833" s="6" t="n">
        <v>7</v>
      </c>
    </row>
    <row r="834">
      <c r="A834" s="6" t="inlineStr">
        <is>
          <t>3161601</t>
        </is>
      </c>
      <c r="B834" s="6" t="inlineStr">
        <is>
          <t>3161601</t>
        </is>
      </c>
      <c r="C834" s="4" t="inlineStr">
        <is>
          <t>Governador Valadares</t>
        </is>
      </c>
      <c r="D834" s="16" t="n">
        <v>3305</v>
      </c>
      <c r="E834" s="8" t="n">
        <v>152.336</v>
      </c>
      <c r="F834" s="7" t="n">
        <v>-18.896454</v>
      </c>
      <c r="G834" s="7" t="n">
        <v>-42.31104191</v>
      </c>
      <c r="H834" s="8" t="n">
        <v>14.4368</v>
      </c>
      <c r="I834" s="6" t="inlineStr">
        <is>
          <t>BAIXO</t>
        </is>
      </c>
      <c r="J834" s="6" t="inlineStr">
        <is>
          <t>swine</t>
        </is>
      </c>
      <c r="K834" s="6" t="n">
        <v>7</v>
      </c>
    </row>
    <row r="835">
      <c r="A835" s="6" t="inlineStr">
        <is>
          <t>3162609</t>
        </is>
      </c>
      <c r="B835" s="6" t="inlineStr">
        <is>
          <t>3162609</t>
        </is>
      </c>
      <c r="C835" s="4" t="inlineStr">
        <is>
          <t>Ipatinga</t>
        </is>
      </c>
      <c r="D835" s="16" t="n">
        <v>7070</v>
      </c>
      <c r="E835" s="8" t="n">
        <v>120.122</v>
      </c>
      <c r="F835" s="7" t="n">
        <v>-19.350802</v>
      </c>
      <c r="G835" s="7" t="n">
        <v>-42.16625484</v>
      </c>
      <c r="H835" s="8" t="n">
        <v>13.9676</v>
      </c>
      <c r="I835" s="6" t="inlineStr">
        <is>
          <t>BAIXO</t>
        </is>
      </c>
      <c r="J835" s="6" t="inlineStr">
        <is>
          <t>swine</t>
        </is>
      </c>
      <c r="K835" s="6" t="n">
        <v>8</v>
      </c>
    </row>
    <row r="836">
      <c r="A836" s="6" t="inlineStr">
        <is>
          <t>3170578</t>
        </is>
      </c>
      <c r="B836" s="6" t="inlineStr">
        <is>
          <t>3170578</t>
        </is>
      </c>
      <c r="C836" s="4" t="inlineStr">
        <is>
          <t>Ipatinga</t>
        </is>
      </c>
      <c r="D836" s="16" t="n">
        <v>5780</v>
      </c>
      <c r="E836" s="8" t="n">
        <v>116.664</v>
      </c>
      <c r="F836" s="7" t="n">
        <v>-19.6038005</v>
      </c>
      <c r="G836" s="7" t="n">
        <v>-42.33153485</v>
      </c>
      <c r="H836" s="8" t="n">
        <v>13.7814</v>
      </c>
      <c r="I836" s="6" t="inlineStr">
        <is>
          <t>BAIXO</t>
        </is>
      </c>
      <c r="J836" s="6" t="inlineStr">
        <is>
          <t>swine</t>
        </is>
      </c>
      <c r="K836" s="6" t="n">
        <v>9</v>
      </c>
    </row>
    <row r="837">
      <c r="A837" s="6" t="inlineStr">
        <is>
          <t>3162955</t>
        </is>
      </c>
      <c r="B837" s="6" t="inlineStr">
        <is>
          <t>3162955</t>
        </is>
      </c>
      <c r="C837" s="4" t="inlineStr">
        <is>
          <t>Belo Horizonte</t>
        </is>
      </c>
      <c r="D837" s="16" t="n">
        <v>26090</v>
      </c>
      <c r="E837" s="8" t="n">
        <v>48.135</v>
      </c>
      <c r="F837" s="7" t="n">
        <v>-19.69617535</v>
      </c>
      <c r="G837" s="7" t="n">
        <v>-43.98649794</v>
      </c>
      <c r="H837" s="8" t="n">
        <v>13.7597</v>
      </c>
      <c r="I837" s="6" t="inlineStr">
        <is>
          <t>BAIXO</t>
        </is>
      </c>
      <c r="J837" s="6" t="inlineStr">
        <is>
          <t>rsu_organic</t>
        </is>
      </c>
      <c r="K837" s="6" t="n">
        <v>6</v>
      </c>
    </row>
    <row r="838">
      <c r="A838" s="6" t="inlineStr">
        <is>
          <t>3164803</t>
        </is>
      </c>
      <c r="B838" s="6" t="inlineStr">
        <is>
          <t>3164803</t>
        </is>
      </c>
      <c r="C838" s="4" t="inlineStr">
        <is>
          <t>Belo Horizonte</t>
        </is>
      </c>
      <c r="D838" s="16" t="n">
        <v>1259</v>
      </c>
      <c r="E838" s="8" t="n">
        <v>128.002</v>
      </c>
      <c r="F838" s="7" t="n">
        <v>-19.294987</v>
      </c>
      <c r="G838" s="7" t="n">
        <v>-43.17832529</v>
      </c>
      <c r="H838" s="8" t="n">
        <v>13.6986</v>
      </c>
      <c r="I838" s="6" t="inlineStr">
        <is>
          <t>BAIXO</t>
        </is>
      </c>
      <c r="J838" s="6" t="inlineStr">
        <is>
          <t>swine</t>
        </is>
      </c>
      <c r="K838" s="6" t="n">
        <v>8</v>
      </c>
    </row>
    <row r="839">
      <c r="A839" s="6" t="inlineStr">
        <is>
          <t>3162575</t>
        </is>
      </c>
      <c r="B839" s="6" t="inlineStr">
        <is>
          <t>3162575</t>
        </is>
      </c>
      <c r="C839" s="4" t="inlineStr">
        <is>
          <t>Governador Valadares</t>
        </is>
      </c>
      <c r="D839" s="16" t="n">
        <v>5331</v>
      </c>
      <c r="E839" s="8" t="n">
        <v>137.928</v>
      </c>
      <c r="F839" s="7" t="n">
        <v>-18.739128</v>
      </c>
      <c r="G839" s="7" t="n">
        <v>-41.16679699</v>
      </c>
      <c r="H839" s="8" t="n">
        <v>13.6873</v>
      </c>
      <c r="I839" s="6" t="inlineStr">
        <is>
          <t>BAIXO</t>
        </is>
      </c>
      <c r="J839" s="6" t="inlineStr">
        <is>
          <t>swine</t>
        </is>
      </c>
      <c r="K839" s="6" t="n">
        <v>9</v>
      </c>
    </row>
    <row r="840">
      <c r="A840" s="6" t="inlineStr">
        <is>
          <t>3123858</t>
        </is>
      </c>
      <c r="B840" s="6" t="inlineStr">
        <is>
          <t>3123858</t>
        </is>
      </c>
      <c r="C840" s="4" t="inlineStr">
        <is>
          <t>Ipatinga</t>
        </is>
      </c>
      <c r="D840" s="16" t="n">
        <v>5179</v>
      </c>
      <c r="E840" s="8" t="n">
        <v>85.39</v>
      </c>
      <c r="F840" s="7" t="n">
        <v>-19.6545565</v>
      </c>
      <c r="G840" s="7" t="n">
        <v>-42.22679364</v>
      </c>
      <c r="H840" s="8" t="n">
        <v>13.5858</v>
      </c>
      <c r="I840" s="6" t="inlineStr">
        <is>
          <t>BAIXO</t>
        </is>
      </c>
      <c r="J840" s="6" t="inlineStr">
        <is>
          <t>swine</t>
        </is>
      </c>
      <c r="K840" s="6" t="n">
        <v>10</v>
      </c>
    </row>
    <row r="841">
      <c r="A841" s="6" t="inlineStr">
        <is>
          <t>3160900</t>
        </is>
      </c>
      <c r="B841" s="6" t="inlineStr">
        <is>
          <t>3160900</t>
        </is>
      </c>
      <c r="C841" s="4" t="inlineStr">
        <is>
          <t>Barbacena</t>
        </is>
      </c>
      <c r="D841" s="16" t="n">
        <v>3989</v>
      </c>
      <c r="E841" s="8" t="n">
        <v>110.019</v>
      </c>
      <c r="F841" s="7" t="n">
        <v>-20.628318</v>
      </c>
      <c r="G841" s="7" t="n">
        <v>-43.97693331</v>
      </c>
      <c r="H841" s="8" t="n">
        <v>13.5365</v>
      </c>
      <c r="I841" s="6" t="inlineStr">
        <is>
          <t>BAIXO</t>
        </is>
      </c>
      <c r="J841" s="6" t="inlineStr">
        <is>
          <t>swine</t>
        </is>
      </c>
      <c r="K841" s="6" t="n">
        <v>7</v>
      </c>
    </row>
    <row r="842">
      <c r="A842" s="6" t="inlineStr">
        <is>
          <t>3127354</t>
        </is>
      </c>
      <c r="B842" s="6" t="inlineStr">
        <is>
          <t>3127354</t>
        </is>
      </c>
      <c r="C842" s="4" t="inlineStr">
        <is>
          <t>Montes Claros</t>
        </is>
      </c>
      <c r="D842" s="16" t="n">
        <v>2928</v>
      </c>
      <c r="E842" s="8" t="n">
        <v>145.861</v>
      </c>
      <c r="F842" s="7" t="n">
        <v>-16.8990385</v>
      </c>
      <c r="G842" s="7" t="n">
        <v>-43.64085968</v>
      </c>
      <c r="H842" s="8" t="n">
        <v>13.213</v>
      </c>
      <c r="I842" s="6" t="inlineStr">
        <is>
          <t>BAIXO</t>
        </is>
      </c>
      <c r="J842" s="6" t="inlineStr">
        <is>
          <t>swine</t>
        </is>
      </c>
      <c r="K842" s="6" t="n">
        <v>7</v>
      </c>
    </row>
    <row r="843">
      <c r="A843" s="6" t="inlineStr">
        <is>
          <t>3145505</t>
        </is>
      </c>
      <c r="B843" s="6" t="inlineStr">
        <is>
          <t>3145505</t>
        </is>
      </c>
      <c r="C843" s="4" t="inlineStr">
        <is>
          <t>Pouso Alegre</t>
        </is>
      </c>
      <c r="D843" s="16" t="n">
        <v>2555</v>
      </c>
      <c r="E843" s="8" t="n">
        <v>54.633</v>
      </c>
      <c r="F843" s="7" t="n">
        <v>-22.085077</v>
      </c>
      <c r="G843" s="7" t="n">
        <v>-45.29060106</v>
      </c>
      <c r="H843" s="8" t="n">
        <v>13.0958</v>
      </c>
      <c r="I843" s="6" t="inlineStr">
        <is>
          <t>BAIXO</t>
        </is>
      </c>
      <c r="J843" s="6" t="inlineStr">
        <is>
          <t>swine</t>
        </is>
      </c>
      <c r="K843" s="6" t="n">
        <v>9</v>
      </c>
    </row>
    <row r="844">
      <c r="A844" s="6" t="inlineStr">
        <is>
          <t>3112505</t>
        </is>
      </c>
      <c r="B844" s="6" t="inlineStr">
        <is>
          <t>3112505</t>
        </is>
      </c>
      <c r="C844" s="4" t="inlineStr">
        <is>
          <t>Belo Horizonte</t>
        </is>
      </c>
      <c r="D844" s="16" t="n">
        <v>10663</v>
      </c>
      <c r="E844" s="8" t="n">
        <v>95.333</v>
      </c>
      <c r="F844" s="7" t="n">
        <v>-19.5814875</v>
      </c>
      <c r="G844" s="7" t="n">
        <v>-44.1689073</v>
      </c>
      <c r="H844" s="8" t="n">
        <v>12.6621</v>
      </c>
      <c r="I844" s="6" t="inlineStr">
        <is>
          <t>BAIXO</t>
        </is>
      </c>
      <c r="J844" s="6" t="inlineStr">
        <is>
          <t>swine</t>
        </is>
      </c>
      <c r="K844" s="6" t="n">
        <v>6</v>
      </c>
    </row>
    <row r="845">
      <c r="A845" s="6" t="inlineStr">
        <is>
          <t>3153905</t>
        </is>
      </c>
      <c r="B845" s="6" t="inlineStr">
        <is>
          <t>3153905</t>
        </is>
      </c>
      <c r="C845" s="4" t="inlineStr">
        <is>
          <t>Belo Horizonte</t>
        </is>
      </c>
      <c r="D845" s="16" t="n">
        <v>16279</v>
      </c>
      <c r="E845" s="8" t="n">
        <v>72.22799999999999</v>
      </c>
      <c r="F845" s="7" t="n">
        <v>-19.97822345</v>
      </c>
      <c r="G845" s="7" t="n">
        <v>-43.77888411</v>
      </c>
      <c r="H845" s="8" t="n">
        <v>12.5636</v>
      </c>
      <c r="I845" s="6" t="inlineStr">
        <is>
          <t>BAIXO</t>
        </is>
      </c>
      <c r="J845" s="6" t="inlineStr">
        <is>
          <t>rsu_organic</t>
        </is>
      </c>
      <c r="K845" s="6" t="n">
        <v>7</v>
      </c>
    </row>
    <row r="846">
      <c r="A846" s="6" t="inlineStr">
        <is>
          <t>3125804</t>
        </is>
      </c>
      <c r="B846" s="6" t="inlineStr">
        <is>
          <t>3125804</t>
        </is>
      </c>
      <c r="C846" s="4" t="inlineStr">
        <is>
          <t>Governador Valadares</t>
        </is>
      </c>
      <c r="D846" s="16" t="n">
        <v>2789</v>
      </c>
      <c r="E846" s="8" t="n">
        <v>151.875</v>
      </c>
      <c r="F846" s="7" t="n">
        <v>-19.107005</v>
      </c>
      <c r="G846" s="7" t="n">
        <v>-42.10504154</v>
      </c>
      <c r="H846" s="8" t="n">
        <v>12.5267</v>
      </c>
      <c r="I846" s="6" t="inlineStr">
        <is>
          <t>BAIXO</t>
        </is>
      </c>
      <c r="J846" s="6" t="inlineStr">
        <is>
          <t>swine</t>
        </is>
      </c>
      <c r="K846" s="6" t="n">
        <v>6</v>
      </c>
    </row>
    <row r="847">
      <c r="A847" s="6" t="inlineStr">
        <is>
          <t>3145059</t>
        </is>
      </c>
      <c r="B847" s="6" t="inlineStr">
        <is>
          <t>3145059</t>
        </is>
      </c>
      <c r="C847" s="4" t="inlineStr">
        <is>
          <t>Montes Claros</t>
        </is>
      </c>
      <c r="D847" s="16" t="n">
        <v>6706</v>
      </c>
      <c r="E847" s="8" t="n">
        <v>120.944</v>
      </c>
      <c r="F847" s="7" t="n">
        <v>-15.718372</v>
      </c>
      <c r="G847" s="7" t="n">
        <v>-43.27033475</v>
      </c>
      <c r="H847" s="8" t="n">
        <v>12.4375</v>
      </c>
      <c r="I847" s="6" t="inlineStr">
        <is>
          <t>BAIXO</t>
        </is>
      </c>
      <c r="J847" s="6" t="inlineStr">
        <is>
          <t>swine</t>
        </is>
      </c>
      <c r="K847" s="6" t="n">
        <v>8</v>
      </c>
    </row>
    <row r="848">
      <c r="A848" s="6" t="inlineStr">
        <is>
          <t>3105301</t>
        </is>
      </c>
      <c r="B848" s="6" t="inlineStr">
        <is>
          <t>3105301</t>
        </is>
      </c>
      <c r="C848" s="4" t="inlineStr">
        <is>
          <t>Pouso Alegre</t>
        </is>
      </c>
      <c r="D848" s="16" t="n">
        <v>5943</v>
      </c>
      <c r="E848" s="8" t="n">
        <v>47.266</v>
      </c>
      <c r="F848" s="7" t="n">
        <v>-21.726194</v>
      </c>
      <c r="G848" s="7" t="n">
        <v>-46.39169269</v>
      </c>
      <c r="H848" s="8" t="n">
        <v>12.1336</v>
      </c>
      <c r="I848" s="6" t="inlineStr">
        <is>
          <t>BAIXO</t>
        </is>
      </c>
      <c r="J848" s="6" t="inlineStr">
        <is>
          <t>swine</t>
        </is>
      </c>
      <c r="K848" s="6" t="n">
        <v>10</v>
      </c>
    </row>
    <row r="849">
      <c r="A849" s="6" t="inlineStr">
        <is>
          <t>3160504</t>
        </is>
      </c>
      <c r="B849" s="6" t="inlineStr">
        <is>
          <t>3160504</t>
        </is>
      </c>
      <c r="C849" s="4" t="inlineStr">
        <is>
          <t>Belo Horizonte</t>
        </is>
      </c>
      <c r="D849" s="16" t="n">
        <v>1808</v>
      </c>
      <c r="E849" s="8" t="n">
        <v>107.269</v>
      </c>
      <c r="F849" s="7" t="n">
        <v>-19.23584</v>
      </c>
      <c r="G849" s="7" t="n">
        <v>-43.24698927</v>
      </c>
      <c r="H849" s="8" t="n">
        <v>11.4239</v>
      </c>
      <c r="I849" s="6" t="inlineStr">
        <is>
          <t>BAIXO</t>
        </is>
      </c>
      <c r="J849" s="6" t="inlineStr">
        <is>
          <t>swine</t>
        </is>
      </c>
      <c r="K849" s="6" t="n">
        <v>7</v>
      </c>
    </row>
    <row r="850">
      <c r="A850" s="6" t="inlineStr">
        <is>
          <t>3127370</t>
        </is>
      </c>
      <c r="B850" s="6" t="inlineStr">
        <is>
          <t>3127370</t>
        </is>
      </c>
      <c r="C850" s="4" t="inlineStr">
        <is>
          <t>Governador Valadares</t>
        </is>
      </c>
      <c r="D850" s="16" t="n">
        <v>2830</v>
      </c>
      <c r="E850" s="8" t="n">
        <v>112.443</v>
      </c>
      <c r="F850" s="7" t="n">
        <v>-19.04077951</v>
      </c>
      <c r="G850" s="7" t="n">
        <v>-41.24335604</v>
      </c>
      <c r="H850" s="8" t="n">
        <v>11.391</v>
      </c>
      <c r="I850" s="6" t="inlineStr">
        <is>
          <t>BAIXO</t>
        </is>
      </c>
      <c r="J850" s="6" t="inlineStr">
        <is>
          <t>swine</t>
        </is>
      </c>
      <c r="K850" s="6" t="n">
        <v>7</v>
      </c>
    </row>
    <row r="851">
      <c r="A851" s="6" t="inlineStr">
        <is>
          <t>3147501</t>
        </is>
      </c>
      <c r="B851" s="6" t="inlineStr">
        <is>
          <t>3147501</t>
        </is>
      </c>
      <c r="C851" s="4" t="inlineStr">
        <is>
          <t>Belo Horizonte</t>
        </is>
      </c>
      <c r="D851" s="16" t="n">
        <v>1600</v>
      </c>
      <c r="E851" s="8" t="n">
        <v>94.18300000000001</v>
      </c>
      <c r="F851" s="7" t="n">
        <v>-19.3598435</v>
      </c>
      <c r="G851" s="7" t="n">
        <v>-43.18516088</v>
      </c>
      <c r="H851" s="8" t="n">
        <v>10.5015</v>
      </c>
      <c r="I851" s="6" t="inlineStr">
        <is>
          <t>BAIXO</t>
        </is>
      </c>
      <c r="J851" s="6" t="inlineStr">
        <is>
          <t>swine</t>
        </is>
      </c>
      <c r="K851" s="6" t="n">
        <v>9</v>
      </c>
    </row>
    <row r="852">
      <c r="A852" s="6" t="inlineStr">
        <is>
          <t>3140159</t>
        </is>
      </c>
      <c r="B852" s="6" t="inlineStr">
        <is>
          <t>3140159</t>
        </is>
      </c>
      <c r="C852" s="4" t="inlineStr">
        <is>
          <t>Belo Horizonte</t>
        </is>
      </c>
      <c r="D852" s="16" t="n">
        <v>15900</v>
      </c>
      <c r="E852" s="8" t="n">
        <v>35.196</v>
      </c>
      <c r="F852" s="7" t="n">
        <v>-20.0737475</v>
      </c>
      <c r="G852" s="7" t="n">
        <v>-44.17844093</v>
      </c>
      <c r="H852" s="8" t="n">
        <v>8.795299999999999</v>
      </c>
      <c r="I852" s="6" t="inlineStr">
        <is>
          <t>BAIXO</t>
        </is>
      </c>
      <c r="J852" s="6" t="inlineStr">
        <is>
          <t>rsu_organic</t>
        </is>
      </c>
      <c r="K852" s="6" t="n">
        <v>6</v>
      </c>
    </row>
    <row r="853">
      <c r="A853" s="6" t="inlineStr">
        <is>
          <t>3122504</t>
        </is>
      </c>
      <c r="B853" s="6" t="inlineStr">
        <is>
          <t>3122504</t>
        </is>
      </c>
      <c r="C853" s="4" t="inlineStr">
        <is>
          <t>Ipatinga</t>
        </is>
      </c>
      <c r="D853" s="16" t="n">
        <v>4904</v>
      </c>
      <c r="E853" s="8" t="n">
        <v>59.52</v>
      </c>
      <c r="F853" s="7" t="n">
        <v>-19.3873275</v>
      </c>
      <c r="G853" s="7" t="n">
        <v>-42.08877361</v>
      </c>
      <c r="H853" s="8" t="n">
        <v>7.5739</v>
      </c>
      <c r="I853" s="6" t="inlineStr">
        <is>
          <t>BAIXO</t>
        </is>
      </c>
      <c r="J853" s="6" t="inlineStr">
        <is>
          <t>swine</t>
        </is>
      </c>
      <c r="K853" s="6" t="n">
        <v>8</v>
      </c>
    </row>
    <row r="854">
      <c r="A854" s="6" t="inlineStr">
        <is>
          <t>3109600</t>
        </is>
      </c>
      <c r="B854" s="6" t="inlineStr">
        <is>
          <t>3109600</t>
        </is>
      </c>
      <c r="C854" s="4" t="inlineStr">
        <is>
          <t>Belo Horizonte</t>
        </is>
      </c>
      <c r="D854" s="16" t="n">
        <v>3693</v>
      </c>
      <c r="E854" s="8" t="n">
        <v>61.425</v>
      </c>
      <c r="F854" s="7" t="n">
        <v>-19.513502</v>
      </c>
      <c r="G854" s="7" t="n">
        <v>-44.47638802</v>
      </c>
      <c r="H854" s="8" t="n">
        <v>7.2301</v>
      </c>
      <c r="I854" s="6" t="inlineStr">
        <is>
          <t>BAIXO</t>
        </is>
      </c>
      <c r="J854" s="6" t="inlineStr">
        <is>
          <t>swine</t>
        </is>
      </c>
      <c r="K854" s="6" t="n">
        <v>8</v>
      </c>
    </row>
    <row r="855">
      <c r="A855" s="6" t="inlineStr">
        <is>
          <t>3117876</t>
        </is>
      </c>
      <c r="B855" s="6" t="inlineStr">
        <is>
          <t>3117876</t>
        </is>
      </c>
      <c r="C855" s="4" t="inlineStr">
        <is>
          <t>Belo Horizonte</t>
        </is>
      </c>
      <c r="D855" s="16" t="n">
        <v>7350</v>
      </c>
      <c r="E855" s="8" t="n">
        <v>42.462</v>
      </c>
      <c r="F855" s="7" t="n">
        <v>-19.643233</v>
      </c>
      <c r="G855" s="7" t="n">
        <v>-43.97812784</v>
      </c>
      <c r="H855" s="8" t="n">
        <v>6.5523</v>
      </c>
      <c r="I855" s="6" t="inlineStr">
        <is>
          <t>BAIXO</t>
        </is>
      </c>
      <c r="J855" s="6" t="inlineStr">
        <is>
          <t>swine</t>
        </is>
      </c>
      <c r="K855" s="6" t="n">
        <v>6</v>
      </c>
    </row>
    <row r="856">
      <c r="A856" s="6" t="inlineStr">
        <is>
          <t>3157336</t>
        </is>
      </c>
      <c r="B856" s="6" t="inlineStr">
        <is>
          <t>3157336</t>
        </is>
      </c>
      <c r="C856" s="4" t="inlineStr">
        <is>
          <t>Barbacena</t>
        </is>
      </c>
      <c r="D856" s="16" t="n">
        <v>8109</v>
      </c>
      <c r="E856" s="8" t="n">
        <v>3.565</v>
      </c>
      <c r="F856" s="7" t="n">
        <v>-21.1211584</v>
      </c>
      <c r="G856" s="7" t="n">
        <v>-44.21783797</v>
      </c>
      <c r="H856" s="8" t="n">
        <v>3.2071</v>
      </c>
      <c r="I856" s="6" t="inlineStr">
        <is>
          <t>BAIXO</t>
        </is>
      </c>
      <c r="J856" s="6" t="inlineStr">
        <is>
          <t>rsu_organic</t>
        </is>
      </c>
      <c r="K856" s="6" t="n">
        <v>5</v>
      </c>
    </row>
    <row r="857">
      <c r="A857" s="23" t="inlineStr">
        <is>
          <t>STATE TOTAL</t>
        </is>
      </c>
      <c r="B857" s="24" t="n"/>
      <c r="C857" s="24" t="n"/>
      <c r="D857" s="25">
        <f>SUM(D4:D856)</f>
        <v/>
      </c>
      <c r="E857" s="26">
        <f>SUM(E4:E856)</f>
        <v/>
      </c>
      <c r="F857" s="24" t="n"/>
      <c r="G857" s="24" t="n"/>
      <c r="H857" s="26">
        <f>SUM(H4:H856)</f>
        <v/>
      </c>
      <c r="I857" s="24" t="n"/>
      <c r="J857" s="24" t="n"/>
      <c r="K857" s="24" t="n"/>
    </row>
    <row r="858">
      <c r="A858" s="21" t="inlineStr">
        <is>
          <t>STATE AVERAGE</t>
        </is>
      </c>
      <c r="D858" s="27">
        <f>AVERAGE(D4:D856)</f>
        <v/>
      </c>
      <c r="E858" s="28">
        <f>AVERAGE(E4:E856)</f>
        <v/>
      </c>
      <c r="H858" s="28">
        <f>AVERAGE(H4:H856)</f>
        <v/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49" customWidth="1" min="2" max="2"/>
    <col width="46" customWidth="1" min="3" max="3"/>
    <col width="27" customWidth="1" min="4" max="4"/>
    <col width="27" customWidth="1" min="5" max="5"/>
    <col width="1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1" t="inlineStr">
        <is>
          <t>PILAR-2b MINAS GERAIS — SPATIAL CLUSTERING &amp; LISA AUTOCORRELATION AUDIT</t>
        </is>
      </c>
    </row>
    <row r="2"/>
    <row r="3">
      <c r="A3" s="29" t="inlineStr">
        <is>
          <t>1. K-Means Feedstock Typology Clusters (K=5)</t>
        </is>
      </c>
    </row>
    <row r="4">
      <c r="A4" s="3" t="inlineStr">
        <is>
          <t>Cluster ID</t>
        </is>
      </c>
      <c r="B4" s="3" t="inlineStr">
        <is>
          <t>Typology Description</t>
        </is>
      </c>
      <c r="C4" s="3" t="inlineStr">
        <is>
          <t>Dominant Stream</t>
        </is>
      </c>
      <c r="D4" s="3" t="inlineStr">
        <is>
          <t>Number of Municipalities</t>
        </is>
      </c>
      <c r="E4" s="3" t="inlineStr">
        <is>
          <t>Total Potential (GWh/yr)</t>
        </is>
      </c>
      <c r="F4" s="3" t="inlineStr">
        <is>
          <t>State Share (%)</t>
        </is>
      </c>
    </row>
    <row r="5">
      <c r="A5" s="6" t="n">
        <v>0</v>
      </c>
      <c r="B5" s="4" t="inlineStr">
        <is>
          <t>Sugarcane-Dominated (Triângulo Mineiro)</t>
        </is>
      </c>
      <c r="C5" s="4" t="inlineStr">
        <is>
          <t>Sugarcane Bagasse/Straw</t>
        </is>
      </c>
      <c r="D5" s="16" t="n">
        <v>42</v>
      </c>
      <c r="E5" s="8" t="n">
        <v>6850.4</v>
      </c>
      <c r="F5" s="10">
        <f>E5/$E$10</f>
        <v/>
      </c>
    </row>
    <row r="6">
      <c r="A6" s="6" t="n">
        <v>1</v>
      </c>
      <c r="B6" s="4" t="inlineStr">
        <is>
          <t>Cattle/Pasture-Heavy (Norte &amp; Jequitinhonha)</t>
        </is>
      </c>
      <c r="C6" s="4" t="inlineStr">
        <is>
          <t>Bovine Manure</t>
        </is>
      </c>
      <c r="D6" s="16" t="n">
        <v>412</v>
      </c>
      <c r="E6" s="8" t="n">
        <v>10240.2</v>
      </c>
      <c r="F6" s="10">
        <f>E6/$E$10</f>
        <v/>
      </c>
    </row>
    <row r="7">
      <c r="A7" s="6" t="n">
        <v>2</v>
      </c>
      <c r="B7" s="4" t="inlineStr">
        <is>
          <t>Coffee-Intensive (Sul de Minas / Zona da Mata)</t>
        </is>
      </c>
      <c r="C7" s="4" t="inlineStr">
        <is>
          <t>Coffee Husk</t>
        </is>
      </c>
      <c r="D7" s="16" t="n">
        <v>185</v>
      </c>
      <c r="E7" s="8" t="n">
        <v>4310.8</v>
      </c>
      <c r="F7" s="10">
        <f>E7/$E$10</f>
        <v/>
      </c>
    </row>
    <row r="8">
      <c r="A8" s="6" t="n">
        <v>3</v>
      </c>
      <c r="B8" s="4" t="inlineStr">
        <is>
          <t>Swine &amp; Grain-Intensive (Alto Paranaíba)</t>
        </is>
      </c>
      <c r="C8" s="4" t="inlineStr">
        <is>
          <t>Swine Slurry / Corn</t>
        </is>
      </c>
      <c r="D8" s="16" t="n">
        <v>148</v>
      </c>
      <c r="E8" s="8" t="n">
        <v>6920.1</v>
      </c>
      <c r="F8" s="10">
        <f>E8/$E$10</f>
        <v/>
      </c>
    </row>
    <row r="9">
      <c r="A9" s="6" t="n">
        <v>4</v>
      </c>
      <c r="B9" s="4" t="inlineStr">
        <is>
          <t>Urban/Sanitation-Centric (RMBH)</t>
        </is>
      </c>
      <c r="C9" s="4" t="inlineStr">
        <is>
          <t>Urban MSW / Sewage</t>
        </is>
      </c>
      <c r="D9" s="16" t="n">
        <v>66</v>
      </c>
      <c r="E9" s="8" t="n">
        <v>4518.2</v>
      </c>
      <c r="F9" s="10">
        <f>E9/$E$10</f>
        <v/>
      </c>
    </row>
    <row r="10">
      <c r="A10" s="30" t="inlineStr">
        <is>
          <t>TOTAL</t>
        </is>
      </c>
      <c r="B10" s="23" t="inlineStr">
        <is>
          <t>All Typologies</t>
        </is>
      </c>
      <c r="C10" s="23" t="inlineStr">
        <is>
          <t>-</t>
        </is>
      </c>
      <c r="D10" s="25">
        <f>SUM(D5:D9)</f>
        <v/>
      </c>
      <c r="E10" s="26">
        <f>SUM(E5:E9)</f>
        <v/>
      </c>
      <c r="F10" s="31">
        <f>SUM(F5:F9)</f>
        <v/>
      </c>
    </row>
    <row r="11"/>
    <row r="12">
      <c r="A12" s="29" t="inlineStr">
        <is>
          <t>2. Local Indicators of Spatial Association (LISA) Quadrants</t>
        </is>
      </c>
    </row>
    <row r="13">
      <c r="A13" s="32" t="inlineStr">
        <is>
          <t>LISA Quadrant</t>
        </is>
      </c>
      <c r="B13" s="32" t="inlineStr">
        <is>
          <t>Spatial Association Type</t>
        </is>
      </c>
      <c r="C13" s="32" t="inlineStr">
        <is>
          <t>Definition</t>
        </is>
      </c>
      <c r="D13" s="32" t="inlineStr">
        <is>
          <t>Municipal Count</t>
        </is>
      </c>
      <c r="E13" s="32" t="inlineStr">
        <is>
          <t>Total Potential (GWh/yr)</t>
        </is>
      </c>
      <c r="F13" s="32" t="inlineStr">
        <is>
          <t>State Share (%)</t>
        </is>
      </c>
    </row>
    <row r="14">
      <c r="A14" s="6" t="inlineStr">
        <is>
          <t>HH</t>
        </is>
      </c>
      <c r="B14" s="4" t="inlineStr">
        <is>
          <t>High-High (Hotspots)</t>
        </is>
      </c>
      <c r="C14" s="4" t="inlineStr">
        <is>
          <t>High potential surrounded by high potential</t>
        </is>
      </c>
      <c r="D14" s="16" t="n">
        <v>112</v>
      </c>
      <c r="E14" s="8" t="n">
        <v>11420.5</v>
      </c>
      <c r="F14" s="10">
        <f>E14/$E$19</f>
        <v/>
      </c>
    </row>
    <row r="15">
      <c r="A15" s="6" t="inlineStr">
        <is>
          <t>LL</t>
        </is>
      </c>
      <c r="B15" s="4" t="inlineStr">
        <is>
          <t>Low-Low (Coldspots)</t>
        </is>
      </c>
      <c r="C15" s="4" t="inlineStr">
        <is>
          <t>Low potential surrounded by low potential</t>
        </is>
      </c>
      <c r="D15" s="16" t="n">
        <v>284</v>
      </c>
      <c r="E15" s="8" t="n">
        <v>5210.1</v>
      </c>
      <c r="F15" s="10">
        <f>E15/$E$19</f>
        <v/>
      </c>
    </row>
    <row r="16">
      <c r="A16" s="6" t="inlineStr">
        <is>
          <t>HL</t>
        </is>
      </c>
      <c r="B16" s="4" t="inlineStr">
        <is>
          <t>High-Low (Spatial Outliers)</t>
        </is>
      </c>
      <c r="C16" s="4" t="inlineStr">
        <is>
          <t>High potential surrounded by low potential</t>
        </is>
      </c>
      <c r="D16" s="16" t="n">
        <v>28</v>
      </c>
      <c r="E16" s="8" t="n">
        <v>1850.4</v>
      </c>
      <c r="F16" s="10">
        <f>E16/$E$19</f>
        <v/>
      </c>
    </row>
    <row r="17">
      <c r="A17" s="6" t="inlineStr">
        <is>
          <t>LH</t>
        </is>
      </c>
      <c r="B17" s="4" t="inlineStr">
        <is>
          <t>Low-High (Spatial Outliers)</t>
        </is>
      </c>
      <c r="C17" s="4" t="inlineStr">
        <is>
          <t>Low potential surrounded by high potential</t>
        </is>
      </c>
      <c r="D17" s="16" t="n">
        <v>35</v>
      </c>
      <c r="E17" s="8" t="n">
        <v>940.2</v>
      </c>
      <c r="F17" s="10">
        <f>E17/$E$19</f>
        <v/>
      </c>
    </row>
    <row r="18">
      <c r="A18" s="6" t="inlineStr">
        <is>
          <t>n.s.</t>
        </is>
      </c>
      <c r="B18" s="4" t="inlineStr">
        <is>
          <t>Not Significant (p &gt; 0.05)</t>
        </is>
      </c>
      <c r="C18" s="4" t="inlineStr">
        <is>
          <t>No significant spatial autocorrelation</t>
        </is>
      </c>
      <c r="D18" s="16" t="n">
        <v>394</v>
      </c>
      <c r="E18" s="8" t="n">
        <v>13418.5</v>
      </c>
      <c r="F18" s="10">
        <f>E18/$E$19</f>
        <v/>
      </c>
    </row>
    <row r="19">
      <c r="A19" s="30" t="inlineStr">
        <is>
          <t>TOTAL</t>
        </is>
      </c>
      <c r="B19" s="23" t="inlineStr">
        <is>
          <t>All Quadrants</t>
        </is>
      </c>
      <c r="C19" s="23" t="inlineStr">
        <is>
          <t>-</t>
        </is>
      </c>
      <c r="D19" s="25">
        <f>SUM(D14:D18)</f>
        <v/>
      </c>
      <c r="E19" s="26">
        <f>SUM(E14:E18)</f>
        <v/>
      </c>
      <c r="F19" s="31">
        <f>SUM(F14:F18)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7" customWidth="1" min="2" max="2"/>
    <col width="17" customWidth="1" min="3" max="3"/>
    <col width="29" customWidth="1" min="4" max="4"/>
    <col width="29" customWidth="1" min="5" max="5"/>
    <col width="24" customWidth="1" min="6" max="6"/>
    <col width="24" customWidth="1" min="7" max="7"/>
    <col width="34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1" t="inlineStr">
        <is>
          <t>PILAR-2b MINAS GERAIS — EMPIRICAL INFRASTRUCTURE &amp; BENCHMARK AUDIT</t>
        </is>
      </c>
    </row>
    <row r="2"/>
    <row r="3">
      <c r="A3" s="3" t="inlineStr">
        <is>
          <t>Geographic Scope</t>
        </is>
      </c>
      <c r="B3" s="3" t="inlineStr">
        <is>
          <t>Municipalities</t>
        </is>
      </c>
      <c r="C3" s="3" t="inlineStr">
        <is>
          <t>ANEEL GD Units</t>
        </is>
      </c>
      <c r="D3" s="3" t="inlineStr">
        <is>
          <t>ANEEL Installed Power (kW)</t>
        </is>
      </c>
      <c r="E3" s="3" t="inlineStr">
        <is>
          <t>ANEEL Installed Power (MW)</t>
        </is>
      </c>
      <c r="F3" s="3" t="inlineStr">
        <is>
          <t>National GD Share (%)</t>
        </is>
      </c>
      <c r="G3" s="3" t="inlineStr">
        <is>
          <t>ANP Biomethane Plants</t>
        </is>
      </c>
      <c r="H3" s="3" t="inlineStr">
        <is>
          <t>Authorized Biomethane (Nm³/day)</t>
        </is>
      </c>
    </row>
    <row r="4">
      <c r="A4" s="4" t="inlineStr">
        <is>
          <t>Minas Gerais (MG)</t>
        </is>
      </c>
      <c r="B4" s="19" t="n">
        <v>853</v>
      </c>
      <c r="C4" s="19" t="n">
        <v>209</v>
      </c>
      <c r="D4" s="8" t="n">
        <v>30104.7</v>
      </c>
      <c r="E4" s="8">
        <f>D4/1000</f>
        <v/>
      </c>
      <c r="F4" s="10">
        <f>D4/$D$6</f>
        <v/>
      </c>
      <c r="G4" s="19" t="n">
        <v>1</v>
      </c>
      <c r="H4" s="11" t="n">
        <v>16912</v>
      </c>
    </row>
    <row r="5">
      <c r="A5" s="4" t="inlineStr">
        <is>
          <t>São Paulo (SP)</t>
        </is>
      </c>
      <c r="B5" s="19" t="n">
        <v>645</v>
      </c>
      <c r="C5" s="19" t="n">
        <v>34</v>
      </c>
      <c r="D5" s="8" t="n">
        <v>20480.22</v>
      </c>
      <c r="E5" s="8">
        <f>D5/1000</f>
        <v/>
      </c>
      <c r="F5" s="10">
        <f>D5/$D$6</f>
        <v/>
      </c>
      <c r="G5" s="19" t="n">
        <v>9</v>
      </c>
      <c r="H5" s="11" t="n">
        <v>497648</v>
      </c>
    </row>
    <row r="6">
      <c r="A6" s="4" t="inlineStr">
        <is>
          <t>Brazil (National Total)</t>
        </is>
      </c>
      <c r="B6" s="19" t="n">
        <v>5570</v>
      </c>
      <c r="C6" s="19" t="n">
        <v>546</v>
      </c>
      <c r="D6" s="8" t="n">
        <v>152078.09</v>
      </c>
      <c r="E6" s="8">
        <f>D6/1000</f>
        <v/>
      </c>
      <c r="F6" s="10">
        <f>D6/$D$6</f>
        <v/>
      </c>
      <c r="G6" s="19" t="n">
        <v>20</v>
      </c>
      <c r="H6" s="11" t="n">
        <v>930869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2026-08-23T12:00:05Z</dcterms:created>
  <dcterms:modified xmlns:dcterms="http://purl.org/dc/terms/" xmlns:xsi="http://www.w3.org/2001/XMLSchema-instance" xsi:type="dcterms:W3CDTF">2026-08-23T12:00:06Z</dcterms:modified>
</cp:coreProperties>
</file>